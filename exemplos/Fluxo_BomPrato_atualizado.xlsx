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13_ncr:1_{0E77BFD2-CC1F-46DC-8BFB-C1792E544822}" xr6:coauthVersionLast="47" xr6:coauthVersionMax="47" xr10:uidLastSave="{00000000-0000-0000-0000-000000000000}"/>
  <bookViews>
    <workbookView xWindow="-108" yWindow="-108" windowWidth="23256" windowHeight="13896" firstSheet="8" activeTab="8" xr2:uid="{00000000-000D-0000-FFFF-FFFF00000000}"/>
  </bookViews>
  <sheets>
    <sheet name="Categorias" sheetId="1" state="hidden" r:id="rId1"/>
    <sheet name="FLUXO DE CAIXA  SIMPLIFICADO" sheetId="29" state="hidden" r:id="rId2"/>
    <sheet name="ANÁLISE" sheetId="2" state="hidden" r:id="rId3"/>
    <sheet name="JANEIRO" sheetId="3" r:id="rId4"/>
    <sheet name="FEVEREIRO" sheetId="28" r:id="rId5"/>
    <sheet name="MARÇO" sheetId="18" r:id="rId6"/>
    <sheet name="ABRIL" sheetId="19" r:id="rId7"/>
    <sheet name="MAIO" sheetId="21" r:id="rId8"/>
    <sheet name="JUNHO" sheetId="20" r:id="rId9"/>
    <sheet name="JULHO" sheetId="22" r:id="rId10"/>
    <sheet name="AGOSTO" sheetId="23" r:id="rId11"/>
    <sheet name="SETEMBRO" sheetId="24" r:id="rId12"/>
    <sheet name="OUTUBRO" sheetId="25" r:id="rId13"/>
    <sheet name="NOVEMBRO" sheetId="26" r:id="rId14"/>
    <sheet name="DEZEMBRO" sheetId="27" r:id="rId15"/>
  </sheets>
  <definedNames>
    <definedName name="_xlnm._FilterDatabase" localSheetId="6" hidden="1">ABRIL!$A$5:$G$252</definedName>
    <definedName name="_xlnm._FilterDatabase" localSheetId="10" hidden="1">AGOSTO!$A$5:$G$249</definedName>
    <definedName name="_xlnm._FilterDatabase" localSheetId="0" hidden="1">Categorias!$A$1:$B$38</definedName>
    <definedName name="_xlnm._FilterDatabase" localSheetId="14" hidden="1">DEZEMBRO!$A$5:$G$249</definedName>
    <definedName name="_xlnm._FilterDatabase" localSheetId="4" hidden="1">FEVEREIRO!$B$12:$H$254</definedName>
    <definedName name="_xlnm._FilterDatabase" localSheetId="3" hidden="1">JANEIRO!$B$12:$H$157</definedName>
    <definedName name="_xlnm._FilterDatabase" localSheetId="9" hidden="1">JULHO!$A$4:$G$248</definedName>
    <definedName name="_xlnm._FilterDatabase" localSheetId="8" hidden="1">JUNHO!$A$5:$G$256</definedName>
    <definedName name="_xlnm._FilterDatabase" localSheetId="7" hidden="1">MAIO!$A$5:$G$255</definedName>
    <definedName name="_xlnm._FilterDatabase" localSheetId="5" hidden="1">MARÇO!$A$5:$G$249</definedName>
    <definedName name="_xlnm._FilterDatabase" localSheetId="13" hidden="1">NOVEMBRO!$A$5:$G$249</definedName>
    <definedName name="_xlnm._FilterDatabase" localSheetId="12" hidden="1">OUTUBRO!$A$5:$G$249</definedName>
    <definedName name="_xlnm._FilterDatabase" localSheetId="11" hidden="1">SETEMBRO!$A$4:$G$248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20" l="1"/>
  <c r="E13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6" i="20"/>
  <c r="E47" i="20"/>
  <c r="E48" i="20"/>
  <c r="G7" i="20"/>
  <c r="H13" i="20" s="1"/>
  <c r="E296" i="21"/>
  <c r="E295" i="21"/>
  <c r="E294" i="21"/>
  <c r="E293" i="21"/>
  <c r="E292" i="21"/>
  <c r="E291" i="21"/>
  <c r="E290" i="21"/>
  <c r="E289" i="21"/>
  <c r="E288" i="21"/>
  <c r="E287" i="21"/>
  <c r="E286" i="21"/>
  <c r="E285" i="21"/>
  <c r="E284" i="21"/>
  <c r="E283" i="21"/>
  <c r="E282" i="21"/>
  <c r="E281" i="21"/>
  <c r="E279" i="21"/>
  <c r="E278" i="21"/>
  <c r="E277" i="21"/>
  <c r="E276" i="21"/>
  <c r="E275" i="21"/>
  <c r="E274" i="21"/>
  <c r="E272" i="21"/>
  <c r="E271" i="21"/>
  <c r="E270" i="21"/>
  <c r="E269" i="21"/>
  <c r="E268" i="21"/>
  <c r="E267" i="21"/>
  <c r="E265" i="21"/>
  <c r="E264" i="21"/>
  <c r="E263" i="21"/>
  <c r="E27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E116" i="21"/>
  <c r="E117" i="21"/>
  <c r="E118" i="21"/>
  <c r="E119" i="21"/>
  <c r="E120" i="21"/>
  <c r="E121" i="21"/>
  <c r="E122" i="21"/>
  <c r="E123" i="21"/>
  <c r="E124" i="21"/>
  <c r="E125" i="21"/>
  <c r="E126" i="21"/>
  <c r="E127" i="21"/>
  <c r="E128" i="21"/>
  <c r="E129" i="21"/>
  <c r="E130" i="21"/>
  <c r="E131" i="21"/>
  <c r="E132" i="21"/>
  <c r="E133" i="21"/>
  <c r="E134" i="21"/>
  <c r="E135" i="21"/>
  <c r="E136" i="21"/>
  <c r="E137" i="21"/>
  <c r="E138" i="21"/>
  <c r="E139" i="21"/>
  <c r="E140" i="21"/>
  <c r="E141" i="21"/>
  <c r="E142" i="21"/>
  <c r="E143" i="21"/>
  <c r="E144" i="21"/>
  <c r="E145" i="21"/>
  <c r="E146" i="21"/>
  <c r="E147" i="21"/>
  <c r="E148" i="21"/>
  <c r="E149" i="21"/>
  <c r="E150" i="21"/>
  <c r="E151" i="21"/>
  <c r="E152" i="21"/>
  <c r="E153" i="21"/>
  <c r="E154" i="21"/>
  <c r="E155" i="21"/>
  <c r="E156" i="21"/>
  <c r="E157" i="21"/>
  <c r="E158" i="21"/>
  <c r="E159" i="21"/>
  <c r="E160" i="21"/>
  <c r="E161" i="21"/>
  <c r="E162" i="21"/>
  <c r="E163" i="21"/>
  <c r="E164" i="21"/>
  <c r="E165" i="21"/>
  <c r="E166" i="21"/>
  <c r="E167" i="21"/>
  <c r="E168" i="21"/>
  <c r="E169" i="21"/>
  <c r="E170" i="21"/>
  <c r="E171" i="21"/>
  <c r="E172" i="21"/>
  <c r="E173" i="21"/>
  <c r="E174" i="21"/>
  <c r="E175" i="21"/>
  <c r="E176" i="21"/>
  <c r="E177" i="21"/>
  <c r="E178" i="21"/>
  <c r="E179" i="21"/>
  <c r="E180" i="21"/>
  <c r="E181" i="21"/>
  <c r="E182" i="21"/>
  <c r="E183" i="21"/>
  <c r="E184" i="21"/>
  <c r="E185" i="21"/>
  <c r="E186" i="21"/>
  <c r="E187" i="21"/>
  <c r="E188" i="21"/>
  <c r="E189" i="21"/>
  <c r="E190" i="21"/>
  <c r="E191" i="21"/>
  <c r="E192" i="21"/>
  <c r="E193" i="21"/>
  <c r="E194" i="21"/>
  <c r="E195" i="21"/>
  <c r="E196" i="21"/>
  <c r="E197" i="21"/>
  <c r="E198" i="21"/>
  <c r="E199" i="21"/>
  <c r="E200" i="21"/>
  <c r="E201" i="21"/>
  <c r="E202" i="21"/>
  <c r="E203" i="21"/>
  <c r="E204" i="21"/>
  <c r="E205" i="21"/>
  <c r="E206" i="21"/>
  <c r="E207" i="21"/>
  <c r="E208" i="21"/>
  <c r="E209" i="21"/>
  <c r="E210" i="21"/>
  <c r="E211" i="21"/>
  <c r="E212" i="21"/>
  <c r="E213" i="21"/>
  <c r="E214" i="21"/>
  <c r="E215" i="21"/>
  <c r="E216" i="21"/>
  <c r="E217" i="21"/>
  <c r="E218" i="21"/>
  <c r="E219" i="21"/>
  <c r="E220" i="21"/>
  <c r="E221" i="21"/>
  <c r="E222" i="21"/>
  <c r="E223" i="21"/>
  <c r="E224" i="21"/>
  <c r="E225" i="21"/>
  <c r="E226" i="21"/>
  <c r="E227" i="21"/>
  <c r="E228" i="21"/>
  <c r="E229" i="21"/>
  <c r="E230" i="21"/>
  <c r="E231" i="21"/>
  <c r="E232" i="21"/>
  <c r="E233" i="21"/>
  <c r="E234" i="21"/>
  <c r="E235" i="21"/>
  <c r="E236" i="21"/>
  <c r="E237" i="21"/>
  <c r="E238" i="21"/>
  <c r="E239" i="21"/>
  <c r="E240" i="21"/>
  <c r="E241" i="21"/>
  <c r="E242" i="21"/>
  <c r="E243" i="21"/>
  <c r="E244" i="21"/>
  <c r="E245" i="21"/>
  <c r="E246" i="21"/>
  <c r="E247" i="21"/>
  <c r="E248" i="21"/>
  <c r="E249" i="21"/>
  <c r="E250" i="21"/>
  <c r="E251" i="21"/>
  <c r="E252" i="21"/>
  <c r="E253" i="21"/>
  <c r="E254" i="21"/>
  <c r="E255" i="21"/>
  <c r="E256" i="21"/>
  <c r="E257" i="21"/>
  <c r="E258" i="21"/>
  <c r="E259" i="21"/>
  <c r="E260" i="21"/>
  <c r="G7" i="27"/>
  <c r="G7" i="26"/>
  <c r="G7" i="25"/>
  <c r="G7" i="24"/>
  <c r="G7" i="23"/>
  <c r="G7" i="22"/>
  <c r="G7" i="21"/>
  <c r="G7" i="19"/>
  <c r="G7" i="18"/>
  <c r="G7" i="3"/>
  <c r="E14" i="28"/>
  <c r="E13" i="28"/>
  <c r="G7" i="28"/>
  <c r="E64" i="19"/>
  <c r="E46" i="19" l="1"/>
  <c r="E44" i="19"/>
  <c r="E21" i="19" l="1"/>
  <c r="E92" i="28"/>
  <c r="E104" i="28" l="1"/>
  <c r="E105" i="28"/>
  <c r="E106" i="28"/>
  <c r="E107" i="28"/>
  <c r="E108" i="28"/>
  <c r="E109" i="28"/>
  <c r="E110" i="28"/>
  <c r="E84" i="28"/>
  <c r="E85" i="28"/>
  <c r="E86" i="28"/>
  <c r="E87" i="28"/>
  <c r="E88" i="28"/>
  <c r="E89" i="28"/>
  <c r="E90" i="28"/>
  <c r="E91" i="28"/>
  <c r="E93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274" i="3"/>
  <c r="E275" i="3"/>
  <c r="E276" i="3"/>
  <c r="E277" i="3"/>
  <c r="E278" i="3"/>
  <c r="E15" i="3"/>
  <c r="E13" i="3"/>
  <c r="K12" i="29" l="1" a="1"/>
  <c r="K12" i="29" s="1"/>
  <c r="E254" i="27" l="1"/>
  <c r="E253" i="27"/>
  <c r="E252" i="27"/>
  <c r="E251" i="27"/>
  <c r="E250" i="27"/>
  <c r="E249" i="27"/>
  <c r="E248" i="27"/>
  <c r="E247" i="27"/>
  <c r="E246" i="27"/>
  <c r="E245" i="27"/>
  <c r="E244" i="27"/>
  <c r="E243" i="27"/>
  <c r="E242" i="27"/>
  <c r="E241" i="27"/>
  <c r="E240" i="27"/>
  <c r="E239" i="27"/>
  <c r="E238" i="27"/>
  <c r="E237" i="27"/>
  <c r="E236" i="27"/>
  <c r="E235" i="27"/>
  <c r="E234" i="27"/>
  <c r="E233" i="27"/>
  <c r="E232" i="27"/>
  <c r="E231" i="27"/>
  <c r="E230" i="27"/>
  <c r="E229" i="27"/>
  <c r="E228" i="27"/>
  <c r="E227" i="27"/>
  <c r="E226" i="27"/>
  <c r="E225" i="27"/>
  <c r="E224" i="27"/>
  <c r="E223" i="27"/>
  <c r="E222" i="27"/>
  <c r="E221" i="27"/>
  <c r="E220" i="27"/>
  <c r="E219" i="27"/>
  <c r="E218" i="27"/>
  <c r="E217" i="27"/>
  <c r="E216" i="27"/>
  <c r="E215" i="27"/>
  <c r="E214" i="27"/>
  <c r="E213" i="27"/>
  <c r="E212" i="27"/>
  <c r="E211" i="27"/>
  <c r="E210" i="27"/>
  <c r="E209" i="27"/>
  <c r="E208" i="27"/>
  <c r="E207" i="27"/>
  <c r="E206" i="27"/>
  <c r="E205" i="27"/>
  <c r="E204" i="27"/>
  <c r="E203" i="27"/>
  <c r="E202" i="27"/>
  <c r="E201" i="27"/>
  <c r="E200" i="27"/>
  <c r="E199" i="27"/>
  <c r="E198" i="27"/>
  <c r="E197" i="27"/>
  <c r="E196" i="27"/>
  <c r="E195" i="27"/>
  <c r="E194" i="27"/>
  <c r="E193" i="27"/>
  <c r="E192" i="27"/>
  <c r="E191" i="27"/>
  <c r="E190" i="27"/>
  <c r="E189" i="27"/>
  <c r="E188" i="27"/>
  <c r="E187" i="27"/>
  <c r="E186" i="27"/>
  <c r="E185" i="27"/>
  <c r="E184" i="27"/>
  <c r="E183" i="27"/>
  <c r="E182" i="27"/>
  <c r="E181" i="27"/>
  <c r="E180" i="27"/>
  <c r="E179" i="27"/>
  <c r="E178" i="27"/>
  <c r="E177" i="27"/>
  <c r="E176" i="27"/>
  <c r="E175" i="27"/>
  <c r="E174" i="27"/>
  <c r="E173" i="27"/>
  <c r="E172" i="27"/>
  <c r="E171" i="27"/>
  <c r="E170" i="27"/>
  <c r="E169" i="27"/>
  <c r="E168" i="27"/>
  <c r="E167" i="27"/>
  <c r="E166" i="27"/>
  <c r="E165" i="27"/>
  <c r="E164" i="27"/>
  <c r="E163" i="27"/>
  <c r="E162" i="27"/>
  <c r="E161" i="27"/>
  <c r="E160" i="27"/>
  <c r="E159" i="27"/>
  <c r="E158" i="27"/>
  <c r="E157" i="27"/>
  <c r="E156" i="27"/>
  <c r="E155" i="27"/>
  <c r="E154" i="27"/>
  <c r="E153" i="27"/>
  <c r="E152" i="27"/>
  <c r="E151" i="27"/>
  <c r="E150" i="27"/>
  <c r="E149" i="27"/>
  <c r="E148" i="27"/>
  <c r="E147" i="27"/>
  <c r="E146" i="27"/>
  <c r="E145" i="27"/>
  <c r="E144" i="27"/>
  <c r="E143" i="27"/>
  <c r="E142" i="27"/>
  <c r="E141" i="27"/>
  <c r="E140" i="27"/>
  <c r="E139" i="27"/>
  <c r="E138" i="27"/>
  <c r="E137" i="27"/>
  <c r="E136" i="27"/>
  <c r="E135" i="27"/>
  <c r="E134" i="27"/>
  <c r="E133" i="27"/>
  <c r="E132" i="27"/>
  <c r="E131" i="27"/>
  <c r="E130" i="27"/>
  <c r="E129" i="27"/>
  <c r="E128" i="27"/>
  <c r="E127" i="27"/>
  <c r="E126" i="27"/>
  <c r="E125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111" i="27"/>
  <c r="E110" i="27"/>
  <c r="E109" i="27"/>
  <c r="E108" i="27"/>
  <c r="E107" i="27"/>
  <c r="E106" i="27"/>
  <c r="E105" i="27"/>
  <c r="E104" i="27"/>
  <c r="E103" i="27"/>
  <c r="E102" i="27"/>
  <c r="E101" i="27"/>
  <c r="E100" i="27"/>
  <c r="E99" i="27"/>
  <c r="E98" i="27"/>
  <c r="E97" i="27"/>
  <c r="E96" i="27"/>
  <c r="E95" i="27"/>
  <c r="E94" i="27"/>
  <c r="E93" i="27"/>
  <c r="E92" i="27"/>
  <c r="E91" i="27"/>
  <c r="E90" i="27"/>
  <c r="E89" i="27"/>
  <c r="E88" i="27"/>
  <c r="E87" i="27"/>
  <c r="E86" i="27"/>
  <c r="E85" i="27"/>
  <c r="E84" i="27"/>
  <c r="E83" i="27"/>
  <c r="E82" i="27"/>
  <c r="E81" i="27"/>
  <c r="E80" i="27"/>
  <c r="E79" i="27"/>
  <c r="E78" i="27"/>
  <c r="E77" i="27"/>
  <c r="E76" i="27"/>
  <c r="E75" i="27"/>
  <c r="E74" i="27"/>
  <c r="E73" i="27"/>
  <c r="E72" i="27"/>
  <c r="E71" i="27"/>
  <c r="E70" i="27"/>
  <c r="E69" i="27"/>
  <c r="E68" i="27"/>
  <c r="E67" i="27"/>
  <c r="E66" i="27"/>
  <c r="E65" i="27"/>
  <c r="E64" i="27"/>
  <c r="E63" i="27"/>
  <c r="E62" i="27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E48" i="27"/>
  <c r="E47" i="27"/>
  <c r="E46" i="27"/>
  <c r="E45" i="27"/>
  <c r="E43" i="27"/>
  <c r="E42" i="27"/>
  <c r="E41" i="27"/>
  <c r="E40" i="27"/>
  <c r="E39" i="27"/>
  <c r="E38" i="27"/>
  <c r="E37" i="27"/>
  <c r="E36" i="27"/>
  <c r="E35" i="27"/>
  <c r="E34" i="27"/>
  <c r="E33" i="27"/>
  <c r="E32" i="27"/>
  <c r="E31" i="27"/>
  <c r="E30" i="27"/>
  <c r="E29" i="27"/>
  <c r="E28" i="27"/>
  <c r="E27" i="27"/>
  <c r="E26" i="27"/>
  <c r="E25" i="27"/>
  <c r="E24" i="27"/>
  <c r="E23" i="27"/>
  <c r="E22" i="27"/>
  <c r="E21" i="27"/>
  <c r="E20" i="27"/>
  <c r="E19" i="27"/>
  <c r="E18" i="27"/>
  <c r="E17" i="27"/>
  <c r="E16" i="27"/>
  <c r="H15" i="27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H30" i="27" s="1"/>
  <c r="H31" i="27" s="1"/>
  <c r="H32" i="27" s="1"/>
  <c r="H33" i="27" s="1"/>
  <c r="H34" i="27" s="1"/>
  <c r="H35" i="27" s="1"/>
  <c r="H36" i="27" s="1"/>
  <c r="H37" i="27" s="1"/>
  <c r="H38" i="27" s="1"/>
  <c r="H39" i="27" s="1"/>
  <c r="H40" i="27" s="1"/>
  <c r="H41" i="27" s="1"/>
  <c r="H42" i="27" s="1"/>
  <c r="H43" i="27" s="1"/>
  <c r="H44" i="27" s="1"/>
  <c r="H45" i="27" s="1"/>
  <c r="H46" i="27" s="1"/>
  <c r="H47" i="27" s="1"/>
  <c r="H48" i="27" s="1"/>
  <c r="H49" i="27" s="1"/>
  <c r="H50" i="27" s="1"/>
  <c r="H51" i="27" s="1"/>
  <c r="H52" i="27" s="1"/>
  <c r="H53" i="27" s="1"/>
  <c r="H54" i="27" s="1"/>
  <c r="H55" i="27" s="1"/>
  <c r="H56" i="27" s="1"/>
  <c r="H57" i="27" s="1"/>
  <c r="H58" i="27" s="1"/>
  <c r="H59" i="27" s="1"/>
  <c r="H60" i="27" s="1"/>
  <c r="H61" i="27" s="1"/>
  <c r="H62" i="27" s="1"/>
  <c r="H63" i="27" s="1"/>
  <c r="H64" i="27" s="1"/>
  <c r="H65" i="27" s="1"/>
  <c r="H66" i="27" s="1"/>
  <c r="H67" i="27" s="1"/>
  <c r="H68" i="27" s="1"/>
  <c r="H69" i="27" s="1"/>
  <c r="H70" i="27" s="1"/>
  <c r="H71" i="27" s="1"/>
  <c r="H72" i="27" s="1"/>
  <c r="H73" i="27" s="1"/>
  <c r="H74" i="27" s="1"/>
  <c r="H75" i="27" s="1"/>
  <c r="H76" i="27" s="1"/>
  <c r="H77" i="27" s="1"/>
  <c r="H78" i="27" s="1"/>
  <c r="H79" i="27" s="1"/>
  <c r="H80" i="27" s="1"/>
  <c r="H81" i="27" s="1"/>
  <c r="H82" i="27" s="1"/>
  <c r="H83" i="27" s="1"/>
  <c r="H84" i="27" s="1"/>
  <c r="H85" i="27" s="1"/>
  <c r="H86" i="27" s="1"/>
  <c r="H87" i="27" s="1"/>
  <c r="H88" i="27" s="1"/>
  <c r="H89" i="27" s="1"/>
  <c r="H90" i="27" s="1"/>
  <c r="H91" i="27" s="1"/>
  <c r="H92" i="27" s="1"/>
  <c r="H93" i="27" s="1"/>
  <c r="H94" i="27" s="1"/>
  <c r="H95" i="27" s="1"/>
  <c r="H96" i="27" s="1"/>
  <c r="H97" i="27" s="1"/>
  <c r="H98" i="27" s="1"/>
  <c r="H99" i="27" s="1"/>
  <c r="H100" i="27" s="1"/>
  <c r="H101" i="27" s="1"/>
  <c r="H102" i="27" s="1"/>
  <c r="H103" i="27" s="1"/>
  <c r="H104" i="27" s="1"/>
  <c r="H105" i="27" s="1"/>
  <c r="H106" i="27" s="1"/>
  <c r="H107" i="27" s="1"/>
  <c r="H108" i="27" s="1"/>
  <c r="H109" i="27" s="1"/>
  <c r="H110" i="27" s="1"/>
  <c r="H111" i="27" s="1"/>
  <c r="H112" i="27" s="1"/>
  <c r="H113" i="27" s="1"/>
  <c r="H114" i="27" s="1"/>
  <c r="H115" i="27" s="1"/>
  <c r="H116" i="27" s="1"/>
  <c r="H117" i="27" s="1"/>
  <c r="H118" i="27" s="1"/>
  <c r="H119" i="27" s="1"/>
  <c r="H120" i="27" s="1"/>
  <c r="H121" i="27" s="1"/>
  <c r="H122" i="27" s="1"/>
  <c r="H123" i="27" s="1"/>
  <c r="H124" i="27" s="1"/>
  <c r="H125" i="27" s="1"/>
  <c r="H126" i="27" s="1"/>
  <c r="H127" i="27" s="1"/>
  <c r="H128" i="27" s="1"/>
  <c r="H129" i="27" s="1"/>
  <c r="H130" i="27" s="1"/>
  <c r="H131" i="27" s="1"/>
  <c r="H132" i="27" s="1"/>
  <c r="H133" i="27" s="1"/>
  <c r="H134" i="27" s="1"/>
  <c r="H135" i="27" s="1"/>
  <c r="H136" i="27" s="1"/>
  <c r="H137" i="27" s="1"/>
  <c r="H138" i="27" s="1"/>
  <c r="H139" i="27" s="1"/>
  <c r="H140" i="27" s="1"/>
  <c r="H141" i="27" s="1"/>
  <c r="H142" i="27" s="1"/>
  <c r="H143" i="27" s="1"/>
  <c r="H144" i="27" s="1"/>
  <c r="H145" i="27" s="1"/>
  <c r="H146" i="27" s="1"/>
  <c r="H147" i="27" s="1"/>
  <c r="H148" i="27" s="1"/>
  <c r="H149" i="27" s="1"/>
  <c r="H150" i="27" s="1"/>
  <c r="H151" i="27" s="1"/>
  <c r="H152" i="27" s="1"/>
  <c r="H153" i="27" s="1"/>
  <c r="H154" i="27" s="1"/>
  <c r="H155" i="27" s="1"/>
  <c r="H156" i="27" s="1"/>
  <c r="H157" i="27" s="1"/>
  <c r="H158" i="27" s="1"/>
  <c r="H159" i="27" s="1"/>
  <c r="H160" i="27" s="1"/>
  <c r="H161" i="27" s="1"/>
  <c r="H162" i="27" s="1"/>
  <c r="H163" i="27" s="1"/>
  <c r="H164" i="27" s="1"/>
  <c r="H165" i="27" s="1"/>
  <c r="H166" i="27" s="1"/>
  <c r="H167" i="27" s="1"/>
  <c r="H168" i="27" s="1"/>
  <c r="H169" i="27" s="1"/>
  <c r="H170" i="27" s="1"/>
  <c r="H171" i="27" s="1"/>
  <c r="H172" i="27" s="1"/>
  <c r="H173" i="27" s="1"/>
  <c r="H174" i="27" s="1"/>
  <c r="H175" i="27" s="1"/>
  <c r="H176" i="27" s="1"/>
  <c r="H177" i="27" s="1"/>
  <c r="H178" i="27" s="1"/>
  <c r="H179" i="27" s="1"/>
  <c r="H180" i="27" s="1"/>
  <c r="H181" i="27" s="1"/>
  <c r="H182" i="27" s="1"/>
  <c r="H183" i="27" s="1"/>
  <c r="H184" i="27" s="1"/>
  <c r="H185" i="27" s="1"/>
  <c r="H186" i="27" s="1"/>
  <c r="H187" i="27" s="1"/>
  <c r="H188" i="27" s="1"/>
  <c r="H189" i="27" s="1"/>
  <c r="H190" i="27" s="1"/>
  <c r="H191" i="27" s="1"/>
  <c r="H192" i="27" s="1"/>
  <c r="H193" i="27" s="1"/>
  <c r="H194" i="27" s="1"/>
  <c r="H195" i="27" s="1"/>
  <c r="H196" i="27" s="1"/>
  <c r="H197" i="27" s="1"/>
  <c r="H198" i="27" s="1"/>
  <c r="H199" i="27" s="1"/>
  <c r="H200" i="27" s="1"/>
  <c r="H201" i="27" s="1"/>
  <c r="H202" i="27" s="1"/>
  <c r="H203" i="27" s="1"/>
  <c r="H204" i="27" s="1"/>
  <c r="H205" i="27" s="1"/>
  <c r="H206" i="27" s="1"/>
  <c r="H207" i="27" s="1"/>
  <c r="H208" i="27" s="1"/>
  <c r="H209" i="27" s="1"/>
  <c r="H210" i="27" s="1"/>
  <c r="H211" i="27" s="1"/>
  <c r="H212" i="27" s="1"/>
  <c r="H213" i="27" s="1"/>
  <c r="H214" i="27" s="1"/>
  <c r="H215" i="27" s="1"/>
  <c r="H216" i="27" s="1"/>
  <c r="H217" i="27" s="1"/>
  <c r="H218" i="27" s="1"/>
  <c r="H219" i="27" s="1"/>
  <c r="H220" i="27" s="1"/>
  <c r="H221" i="27" s="1"/>
  <c r="H222" i="27" s="1"/>
  <c r="H223" i="27" s="1"/>
  <c r="H224" i="27" s="1"/>
  <c r="H225" i="27" s="1"/>
  <c r="H226" i="27" s="1"/>
  <c r="H227" i="27" s="1"/>
  <c r="H228" i="27" s="1"/>
  <c r="H229" i="27" s="1"/>
  <c r="H230" i="27" s="1"/>
  <c r="H231" i="27" s="1"/>
  <c r="H232" i="27" s="1"/>
  <c r="H233" i="27" s="1"/>
  <c r="H234" i="27" s="1"/>
  <c r="H235" i="27" s="1"/>
  <c r="H236" i="27" s="1"/>
  <c r="H237" i="27" s="1"/>
  <c r="H238" i="27" s="1"/>
  <c r="H239" i="27" s="1"/>
  <c r="H240" i="27" s="1"/>
  <c r="H241" i="27" s="1"/>
  <c r="H242" i="27" s="1"/>
  <c r="H243" i="27" s="1"/>
  <c r="H244" i="27" s="1"/>
  <c r="H245" i="27" s="1"/>
  <c r="H246" i="27" s="1"/>
  <c r="H247" i="27" s="1"/>
  <c r="H248" i="27" s="1"/>
  <c r="H249" i="27" s="1"/>
  <c r="H250" i="27" s="1"/>
  <c r="H251" i="27" s="1"/>
  <c r="H252" i="27" s="1"/>
  <c r="H253" i="27" s="1"/>
  <c r="H254" i="27" s="1"/>
  <c r="E15" i="27"/>
  <c r="E14" i="27"/>
  <c r="E13" i="27"/>
  <c r="H13" i="27"/>
  <c r="H14" i="27" s="1"/>
  <c r="E254" i="26"/>
  <c r="E253" i="26"/>
  <c r="E252" i="26"/>
  <c r="E251" i="26"/>
  <c r="E250" i="26"/>
  <c r="E249" i="26"/>
  <c r="E248" i="26"/>
  <c r="E247" i="26"/>
  <c r="E246" i="26"/>
  <c r="E245" i="26"/>
  <c r="E244" i="26"/>
  <c r="E243" i="26"/>
  <c r="E242" i="26"/>
  <c r="E241" i="26"/>
  <c r="E240" i="26"/>
  <c r="E239" i="26"/>
  <c r="E238" i="26"/>
  <c r="E237" i="26"/>
  <c r="E236" i="26"/>
  <c r="E235" i="26"/>
  <c r="E234" i="26"/>
  <c r="E233" i="26"/>
  <c r="E232" i="26"/>
  <c r="E231" i="26"/>
  <c r="E230" i="26"/>
  <c r="E229" i="26"/>
  <c r="E228" i="26"/>
  <c r="E227" i="26"/>
  <c r="E226" i="26"/>
  <c r="E225" i="26"/>
  <c r="E224" i="26"/>
  <c r="E223" i="26"/>
  <c r="E222" i="26"/>
  <c r="E221" i="26"/>
  <c r="E220" i="26"/>
  <c r="E219" i="26"/>
  <c r="E218" i="26"/>
  <c r="E217" i="26"/>
  <c r="E216" i="26"/>
  <c r="E215" i="26"/>
  <c r="E214" i="26"/>
  <c r="E213" i="26"/>
  <c r="E212" i="26"/>
  <c r="E211" i="26"/>
  <c r="E210" i="26"/>
  <c r="E209" i="26"/>
  <c r="E208" i="26"/>
  <c r="E207" i="26"/>
  <c r="E206" i="26"/>
  <c r="E205" i="26"/>
  <c r="E204" i="26"/>
  <c r="E203" i="26"/>
  <c r="E202" i="26"/>
  <c r="E201" i="26"/>
  <c r="E200" i="26"/>
  <c r="E199" i="26"/>
  <c r="E198" i="26"/>
  <c r="E197" i="26"/>
  <c r="E196" i="26"/>
  <c r="E195" i="26"/>
  <c r="E194" i="26"/>
  <c r="E193" i="26"/>
  <c r="E192" i="26"/>
  <c r="E191" i="26"/>
  <c r="E190" i="26"/>
  <c r="E189" i="26"/>
  <c r="E188" i="26"/>
  <c r="E187" i="26"/>
  <c r="E186" i="26"/>
  <c r="E185" i="26"/>
  <c r="E184" i="26"/>
  <c r="E183" i="26"/>
  <c r="E182" i="26"/>
  <c r="E181" i="26"/>
  <c r="E180" i="26"/>
  <c r="E179" i="26"/>
  <c r="E178" i="26"/>
  <c r="E177" i="26"/>
  <c r="E176" i="26"/>
  <c r="E175" i="26"/>
  <c r="E174" i="26"/>
  <c r="E173" i="26"/>
  <c r="E172" i="26"/>
  <c r="E171" i="26"/>
  <c r="E170" i="26"/>
  <c r="E169" i="26"/>
  <c r="E168" i="26"/>
  <c r="E167" i="26"/>
  <c r="E166" i="26"/>
  <c r="E165" i="26"/>
  <c r="E164" i="26"/>
  <c r="E163" i="26"/>
  <c r="E162" i="26"/>
  <c r="E161" i="26"/>
  <c r="E160" i="26"/>
  <c r="E159" i="26"/>
  <c r="E158" i="26"/>
  <c r="E157" i="26"/>
  <c r="E156" i="26"/>
  <c r="E155" i="26"/>
  <c r="E154" i="26"/>
  <c r="E153" i="26"/>
  <c r="E152" i="26"/>
  <c r="E151" i="26"/>
  <c r="E150" i="26"/>
  <c r="E149" i="26"/>
  <c r="E148" i="26"/>
  <c r="E147" i="26"/>
  <c r="E146" i="26"/>
  <c r="E145" i="26"/>
  <c r="E144" i="26"/>
  <c r="E143" i="26"/>
  <c r="E142" i="26"/>
  <c r="E141" i="26"/>
  <c r="E140" i="26"/>
  <c r="E139" i="26"/>
  <c r="E138" i="26"/>
  <c r="E137" i="26"/>
  <c r="E136" i="26"/>
  <c r="E135" i="26"/>
  <c r="E134" i="26"/>
  <c r="E133" i="26"/>
  <c r="E132" i="26"/>
  <c r="E131" i="26"/>
  <c r="E130" i="26"/>
  <c r="E129" i="26"/>
  <c r="E128" i="26"/>
  <c r="E127" i="26"/>
  <c r="E126" i="26"/>
  <c r="E125" i="26"/>
  <c r="E124" i="26"/>
  <c r="E123" i="26"/>
  <c r="E122" i="26"/>
  <c r="E121" i="26"/>
  <c r="E120" i="26"/>
  <c r="E119" i="26"/>
  <c r="E118" i="26"/>
  <c r="E117" i="26"/>
  <c r="E116" i="26"/>
  <c r="E115" i="26"/>
  <c r="E114" i="26"/>
  <c r="E113" i="26"/>
  <c r="E112" i="26"/>
  <c r="E111" i="26"/>
  <c r="E110" i="26"/>
  <c r="E109" i="26"/>
  <c r="E108" i="26"/>
  <c r="E107" i="26"/>
  <c r="E106" i="26"/>
  <c r="E105" i="26"/>
  <c r="E104" i="26"/>
  <c r="E103" i="26"/>
  <c r="E102" i="26"/>
  <c r="E101" i="26"/>
  <c r="E100" i="26"/>
  <c r="E99" i="26"/>
  <c r="E98" i="26"/>
  <c r="E97" i="26"/>
  <c r="E96" i="26"/>
  <c r="E95" i="26"/>
  <c r="E94" i="26"/>
  <c r="E93" i="26"/>
  <c r="E92" i="26"/>
  <c r="E91" i="26"/>
  <c r="E90" i="26"/>
  <c r="E89" i="26"/>
  <c r="E88" i="26"/>
  <c r="E87" i="26"/>
  <c r="E86" i="26"/>
  <c r="E85" i="26"/>
  <c r="E84" i="26"/>
  <c r="E83" i="26"/>
  <c r="E82" i="26"/>
  <c r="E81" i="26"/>
  <c r="E80" i="26"/>
  <c r="E79" i="26"/>
  <c r="E78" i="26"/>
  <c r="E77" i="26"/>
  <c r="E76" i="26"/>
  <c r="E75" i="26"/>
  <c r="E74" i="26"/>
  <c r="E73" i="26"/>
  <c r="E72" i="26"/>
  <c r="E71" i="26"/>
  <c r="E70" i="26"/>
  <c r="E69" i="26"/>
  <c r="E68" i="26"/>
  <c r="E67" i="26"/>
  <c r="E66" i="26"/>
  <c r="E65" i="26"/>
  <c r="E64" i="26"/>
  <c r="E63" i="26"/>
  <c r="E62" i="26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E48" i="26"/>
  <c r="E47" i="26"/>
  <c r="E46" i="26"/>
  <c r="E45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H13" i="26"/>
  <c r="H14" i="26" s="1"/>
  <c r="H15" i="26" s="1"/>
  <c r="H16" i="26" s="1"/>
  <c r="H17" i="26" s="1"/>
  <c r="H18" i="26" s="1"/>
  <c r="H19" i="26" s="1"/>
  <c r="H20" i="26" s="1"/>
  <c r="H21" i="26" s="1"/>
  <c r="H22" i="26" s="1"/>
  <c r="H23" i="26" s="1"/>
  <c r="H24" i="26" s="1"/>
  <c r="H25" i="26" s="1"/>
  <c r="H26" i="26" s="1"/>
  <c r="H27" i="26" s="1"/>
  <c r="H28" i="26" s="1"/>
  <c r="H29" i="26" s="1"/>
  <c r="H30" i="26" s="1"/>
  <c r="H31" i="26" s="1"/>
  <c r="H32" i="26" s="1"/>
  <c r="H33" i="26" s="1"/>
  <c r="H34" i="26" s="1"/>
  <c r="H35" i="26" s="1"/>
  <c r="H36" i="26" s="1"/>
  <c r="H37" i="26" s="1"/>
  <c r="H38" i="26" s="1"/>
  <c r="H39" i="26" s="1"/>
  <c r="H40" i="26" s="1"/>
  <c r="H41" i="26" s="1"/>
  <c r="H42" i="26" s="1"/>
  <c r="H43" i="26" s="1"/>
  <c r="H44" i="26" s="1"/>
  <c r="H45" i="26" s="1"/>
  <c r="H46" i="26" s="1"/>
  <c r="H47" i="26" s="1"/>
  <c r="H48" i="26" s="1"/>
  <c r="H49" i="26" s="1"/>
  <c r="H50" i="26" s="1"/>
  <c r="H51" i="26" s="1"/>
  <c r="H52" i="26" s="1"/>
  <c r="H53" i="26" s="1"/>
  <c r="H54" i="26" s="1"/>
  <c r="H55" i="26" s="1"/>
  <c r="H56" i="26" s="1"/>
  <c r="H57" i="26" s="1"/>
  <c r="H58" i="26" s="1"/>
  <c r="H59" i="26" s="1"/>
  <c r="H60" i="26" s="1"/>
  <c r="H61" i="26" s="1"/>
  <c r="H62" i="26" s="1"/>
  <c r="H63" i="26" s="1"/>
  <c r="H64" i="26" s="1"/>
  <c r="H65" i="26" s="1"/>
  <c r="H66" i="26" s="1"/>
  <c r="H67" i="26" s="1"/>
  <c r="H68" i="26" s="1"/>
  <c r="H69" i="26" s="1"/>
  <c r="H70" i="26" s="1"/>
  <c r="H71" i="26" s="1"/>
  <c r="H72" i="26" s="1"/>
  <c r="H73" i="26" s="1"/>
  <c r="H74" i="26" s="1"/>
  <c r="H75" i="26" s="1"/>
  <c r="H76" i="26" s="1"/>
  <c r="H77" i="26" s="1"/>
  <c r="H78" i="26" s="1"/>
  <c r="H79" i="26" s="1"/>
  <c r="H80" i="26" s="1"/>
  <c r="H81" i="26" s="1"/>
  <c r="H82" i="26" s="1"/>
  <c r="H83" i="26" s="1"/>
  <c r="H84" i="26" s="1"/>
  <c r="H85" i="26" s="1"/>
  <c r="H86" i="26" s="1"/>
  <c r="H87" i="26" s="1"/>
  <c r="H88" i="26" s="1"/>
  <c r="H89" i="26" s="1"/>
  <c r="H90" i="26" s="1"/>
  <c r="H91" i="26" s="1"/>
  <c r="H92" i="26" s="1"/>
  <c r="H93" i="26" s="1"/>
  <c r="H94" i="26" s="1"/>
  <c r="H95" i="26" s="1"/>
  <c r="H96" i="26" s="1"/>
  <c r="H97" i="26" s="1"/>
  <c r="H98" i="26" s="1"/>
  <c r="H99" i="26" s="1"/>
  <c r="H100" i="26" s="1"/>
  <c r="H101" i="26" s="1"/>
  <c r="H102" i="26" s="1"/>
  <c r="H103" i="26" s="1"/>
  <c r="H104" i="26" s="1"/>
  <c r="H105" i="26" s="1"/>
  <c r="H106" i="26" s="1"/>
  <c r="H107" i="26" s="1"/>
  <c r="H108" i="26" s="1"/>
  <c r="H109" i="26" s="1"/>
  <c r="H110" i="26" s="1"/>
  <c r="H111" i="26" s="1"/>
  <c r="H112" i="26" s="1"/>
  <c r="H113" i="26" s="1"/>
  <c r="H114" i="26" s="1"/>
  <c r="H115" i="26" s="1"/>
  <c r="H116" i="26" s="1"/>
  <c r="H117" i="26" s="1"/>
  <c r="H118" i="26" s="1"/>
  <c r="H119" i="26" s="1"/>
  <c r="H120" i="26" s="1"/>
  <c r="H121" i="26" s="1"/>
  <c r="H122" i="26" s="1"/>
  <c r="H123" i="26" s="1"/>
  <c r="H124" i="26" s="1"/>
  <c r="H125" i="26" s="1"/>
  <c r="H126" i="26" s="1"/>
  <c r="H127" i="26" s="1"/>
  <c r="H128" i="26" s="1"/>
  <c r="H129" i="26" s="1"/>
  <c r="H130" i="26" s="1"/>
  <c r="H131" i="26" s="1"/>
  <c r="H132" i="26" s="1"/>
  <c r="H133" i="26" s="1"/>
  <c r="H134" i="26" s="1"/>
  <c r="H135" i="26" s="1"/>
  <c r="H136" i="26" s="1"/>
  <c r="H137" i="26" s="1"/>
  <c r="H138" i="26" s="1"/>
  <c r="H139" i="26" s="1"/>
  <c r="H140" i="26" s="1"/>
  <c r="H141" i="26" s="1"/>
  <c r="H142" i="26" s="1"/>
  <c r="H143" i="26" s="1"/>
  <c r="H144" i="26" s="1"/>
  <c r="H145" i="26" s="1"/>
  <c r="H146" i="26" s="1"/>
  <c r="H147" i="26" s="1"/>
  <c r="H148" i="26" s="1"/>
  <c r="H149" i="26" s="1"/>
  <c r="H150" i="26" s="1"/>
  <c r="H151" i="26" s="1"/>
  <c r="H152" i="26" s="1"/>
  <c r="H153" i="26" s="1"/>
  <c r="H154" i="26" s="1"/>
  <c r="H155" i="26" s="1"/>
  <c r="H156" i="26" s="1"/>
  <c r="H157" i="26" s="1"/>
  <c r="H158" i="26" s="1"/>
  <c r="H159" i="26" s="1"/>
  <c r="H160" i="26" s="1"/>
  <c r="H161" i="26" s="1"/>
  <c r="H162" i="26" s="1"/>
  <c r="H163" i="26" s="1"/>
  <c r="H164" i="26" s="1"/>
  <c r="H165" i="26" s="1"/>
  <c r="H166" i="26" s="1"/>
  <c r="H167" i="26" s="1"/>
  <c r="H168" i="26" s="1"/>
  <c r="H169" i="26" s="1"/>
  <c r="H170" i="26" s="1"/>
  <c r="H171" i="26" s="1"/>
  <c r="H172" i="26" s="1"/>
  <c r="H173" i="26" s="1"/>
  <c r="H174" i="26" s="1"/>
  <c r="H175" i="26" s="1"/>
  <c r="H176" i="26" s="1"/>
  <c r="H177" i="26" s="1"/>
  <c r="H178" i="26" s="1"/>
  <c r="H179" i="26" s="1"/>
  <c r="H180" i="26" s="1"/>
  <c r="H181" i="26" s="1"/>
  <c r="H182" i="26" s="1"/>
  <c r="H183" i="26" s="1"/>
  <c r="H184" i="26" s="1"/>
  <c r="H185" i="26" s="1"/>
  <c r="H186" i="26" s="1"/>
  <c r="H187" i="26" s="1"/>
  <c r="H188" i="26" s="1"/>
  <c r="H189" i="26" s="1"/>
  <c r="H190" i="26" s="1"/>
  <c r="H191" i="26" s="1"/>
  <c r="H192" i="26" s="1"/>
  <c r="H193" i="26" s="1"/>
  <c r="H194" i="26" s="1"/>
  <c r="H195" i="26" s="1"/>
  <c r="H196" i="26" s="1"/>
  <c r="H197" i="26" s="1"/>
  <c r="H198" i="26" s="1"/>
  <c r="H199" i="26" s="1"/>
  <c r="H200" i="26" s="1"/>
  <c r="H201" i="26" s="1"/>
  <c r="H202" i="26" s="1"/>
  <c r="H203" i="26" s="1"/>
  <c r="H204" i="26" s="1"/>
  <c r="H205" i="26" s="1"/>
  <c r="H206" i="26" s="1"/>
  <c r="H207" i="26" s="1"/>
  <c r="H208" i="26" s="1"/>
  <c r="H209" i="26" s="1"/>
  <c r="H210" i="26" s="1"/>
  <c r="H211" i="26" s="1"/>
  <c r="H212" i="26" s="1"/>
  <c r="H213" i="26" s="1"/>
  <c r="H214" i="26" s="1"/>
  <c r="H215" i="26" s="1"/>
  <c r="H216" i="26" s="1"/>
  <c r="H217" i="26" s="1"/>
  <c r="H218" i="26" s="1"/>
  <c r="H219" i="26" s="1"/>
  <c r="H220" i="26" s="1"/>
  <c r="H221" i="26" s="1"/>
  <c r="H222" i="26" s="1"/>
  <c r="H223" i="26" s="1"/>
  <c r="H224" i="26" s="1"/>
  <c r="H225" i="26" s="1"/>
  <c r="H226" i="26" s="1"/>
  <c r="H227" i="26" s="1"/>
  <c r="H228" i="26" s="1"/>
  <c r="H229" i="26" s="1"/>
  <c r="H230" i="26" s="1"/>
  <c r="H231" i="26" s="1"/>
  <c r="H232" i="26" s="1"/>
  <c r="H233" i="26" s="1"/>
  <c r="H234" i="26" s="1"/>
  <c r="H235" i="26" s="1"/>
  <c r="H236" i="26" s="1"/>
  <c r="H237" i="26" s="1"/>
  <c r="H238" i="26" s="1"/>
  <c r="H239" i="26" s="1"/>
  <c r="H240" i="26" s="1"/>
  <c r="H241" i="26" s="1"/>
  <c r="H242" i="26" s="1"/>
  <c r="H243" i="26" s="1"/>
  <c r="H244" i="26" s="1"/>
  <c r="H245" i="26" s="1"/>
  <c r="H246" i="26" s="1"/>
  <c r="H247" i="26" s="1"/>
  <c r="H248" i="26" s="1"/>
  <c r="H249" i="26" s="1"/>
  <c r="H250" i="26" s="1"/>
  <c r="H251" i="26" s="1"/>
  <c r="H252" i="26" s="1"/>
  <c r="H253" i="26" s="1"/>
  <c r="H254" i="26" s="1"/>
  <c r="E254" i="25"/>
  <c r="E253" i="25"/>
  <c r="E252" i="25"/>
  <c r="E251" i="25"/>
  <c r="E250" i="25"/>
  <c r="E249" i="25"/>
  <c r="E248" i="25"/>
  <c r="E247" i="25"/>
  <c r="E246" i="25"/>
  <c r="E245" i="25"/>
  <c r="E244" i="25"/>
  <c r="E243" i="25"/>
  <c r="E242" i="25"/>
  <c r="E241" i="25"/>
  <c r="E240" i="25"/>
  <c r="E239" i="25"/>
  <c r="E238" i="25"/>
  <c r="E237" i="25"/>
  <c r="E236" i="25"/>
  <c r="E235" i="25"/>
  <c r="E234" i="25"/>
  <c r="E233" i="25"/>
  <c r="E232" i="25"/>
  <c r="E231" i="25"/>
  <c r="E230" i="25"/>
  <c r="E229" i="25"/>
  <c r="E228" i="25"/>
  <c r="E227" i="25"/>
  <c r="E226" i="25"/>
  <c r="E225" i="25"/>
  <c r="E224" i="25"/>
  <c r="E223" i="25"/>
  <c r="E222" i="25"/>
  <c r="E221" i="25"/>
  <c r="E220" i="25"/>
  <c r="E219" i="25"/>
  <c r="E218" i="25"/>
  <c r="E217" i="25"/>
  <c r="E216" i="25"/>
  <c r="E215" i="25"/>
  <c r="E214" i="25"/>
  <c r="E213" i="25"/>
  <c r="E212" i="25"/>
  <c r="E211" i="25"/>
  <c r="E210" i="25"/>
  <c r="E209" i="25"/>
  <c r="E208" i="25"/>
  <c r="E207" i="25"/>
  <c r="E206" i="25"/>
  <c r="E205" i="25"/>
  <c r="E204" i="25"/>
  <c r="E203" i="25"/>
  <c r="E202" i="25"/>
  <c r="E201" i="25"/>
  <c r="E200" i="25"/>
  <c r="E199" i="25"/>
  <c r="E198" i="25"/>
  <c r="E197" i="25"/>
  <c r="E196" i="25"/>
  <c r="E195" i="25"/>
  <c r="E194" i="25"/>
  <c r="E193" i="25"/>
  <c r="E192" i="25"/>
  <c r="E191" i="25"/>
  <c r="E190" i="25"/>
  <c r="E189" i="25"/>
  <c r="E188" i="25"/>
  <c r="E187" i="25"/>
  <c r="E186" i="25"/>
  <c r="E185" i="25"/>
  <c r="E184" i="25"/>
  <c r="E183" i="25"/>
  <c r="E182" i="25"/>
  <c r="E181" i="25"/>
  <c r="E180" i="25"/>
  <c r="E179" i="25"/>
  <c r="E178" i="25"/>
  <c r="E177" i="25"/>
  <c r="E176" i="25"/>
  <c r="E175" i="25"/>
  <c r="E174" i="25"/>
  <c r="E173" i="25"/>
  <c r="E172" i="25"/>
  <c r="E171" i="25"/>
  <c r="E170" i="25"/>
  <c r="E169" i="25"/>
  <c r="E168" i="25"/>
  <c r="E167" i="25"/>
  <c r="E166" i="25"/>
  <c r="E165" i="25"/>
  <c r="E164" i="25"/>
  <c r="E163" i="25"/>
  <c r="E162" i="25"/>
  <c r="E161" i="25"/>
  <c r="E160" i="25"/>
  <c r="E159" i="25"/>
  <c r="E158" i="25"/>
  <c r="E157" i="25"/>
  <c r="E156" i="25"/>
  <c r="E155" i="25"/>
  <c r="E154" i="25"/>
  <c r="E153" i="25"/>
  <c r="E152" i="25"/>
  <c r="E151" i="25"/>
  <c r="E150" i="25"/>
  <c r="E149" i="25"/>
  <c r="E148" i="25"/>
  <c r="E147" i="25"/>
  <c r="E146" i="25"/>
  <c r="E145" i="25"/>
  <c r="E144" i="25"/>
  <c r="E143" i="25"/>
  <c r="E142" i="25"/>
  <c r="E141" i="25"/>
  <c r="E140" i="25"/>
  <c r="E139" i="25"/>
  <c r="E138" i="25"/>
  <c r="E137" i="25"/>
  <c r="E136" i="25"/>
  <c r="E135" i="25"/>
  <c r="E134" i="25"/>
  <c r="E133" i="25"/>
  <c r="E132" i="25"/>
  <c r="E131" i="25"/>
  <c r="E130" i="25"/>
  <c r="E129" i="25"/>
  <c r="E128" i="25"/>
  <c r="E127" i="25"/>
  <c r="E126" i="25"/>
  <c r="E125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111" i="25"/>
  <c r="E110" i="25"/>
  <c r="E109" i="25"/>
  <c r="E108" i="25"/>
  <c r="E107" i="25"/>
  <c r="E106" i="25"/>
  <c r="E105" i="25"/>
  <c r="E104" i="25"/>
  <c r="E103" i="25"/>
  <c r="E102" i="25"/>
  <c r="E101" i="25"/>
  <c r="E100" i="25"/>
  <c r="E99" i="25"/>
  <c r="E98" i="25"/>
  <c r="E97" i="25"/>
  <c r="E96" i="25"/>
  <c r="E95" i="25"/>
  <c r="E94" i="25"/>
  <c r="E93" i="25"/>
  <c r="E92" i="25"/>
  <c r="E91" i="25"/>
  <c r="E90" i="25"/>
  <c r="E89" i="25"/>
  <c r="E88" i="25"/>
  <c r="E87" i="25"/>
  <c r="E86" i="25"/>
  <c r="E85" i="25"/>
  <c r="E84" i="25"/>
  <c r="E83" i="25"/>
  <c r="E82" i="25"/>
  <c r="E81" i="25"/>
  <c r="E80" i="25"/>
  <c r="E79" i="25"/>
  <c r="E78" i="25"/>
  <c r="E77" i="25"/>
  <c r="E76" i="25"/>
  <c r="E75" i="25"/>
  <c r="E74" i="25"/>
  <c r="E73" i="25"/>
  <c r="E72" i="25"/>
  <c r="E71" i="25"/>
  <c r="E70" i="25"/>
  <c r="E69" i="25"/>
  <c r="E68" i="25"/>
  <c r="E67" i="25"/>
  <c r="E66" i="25"/>
  <c r="E65" i="25"/>
  <c r="E64" i="25"/>
  <c r="E63" i="25"/>
  <c r="E62" i="25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E48" i="25"/>
  <c r="E47" i="25"/>
  <c r="E46" i="25"/>
  <c r="E45" i="25"/>
  <c r="E43" i="25"/>
  <c r="E42" i="25"/>
  <c r="E41" i="25"/>
  <c r="E40" i="25"/>
  <c r="E39" i="25"/>
  <c r="E38" i="25"/>
  <c r="E37" i="25"/>
  <c r="E36" i="25"/>
  <c r="E35" i="25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E18" i="25"/>
  <c r="E17" i="25"/>
  <c r="E16" i="25"/>
  <c r="E15" i="25"/>
  <c r="E14" i="25"/>
  <c r="E13" i="25"/>
  <c r="H13" i="25"/>
  <c r="H14" i="25" s="1"/>
  <c r="H15" i="25" s="1"/>
  <c r="H16" i="25" s="1"/>
  <c r="H17" i="25" s="1"/>
  <c r="H18" i="25" s="1"/>
  <c r="H19" i="25" s="1"/>
  <c r="H20" i="25" s="1"/>
  <c r="H21" i="25" s="1"/>
  <c r="H22" i="25" s="1"/>
  <c r="H23" i="25" s="1"/>
  <c r="H24" i="25" s="1"/>
  <c r="H25" i="25" s="1"/>
  <c r="H26" i="25" s="1"/>
  <c r="H27" i="25" s="1"/>
  <c r="H28" i="25" s="1"/>
  <c r="H29" i="25" s="1"/>
  <c r="H30" i="25" s="1"/>
  <c r="H31" i="25" s="1"/>
  <c r="H32" i="25" s="1"/>
  <c r="H33" i="25" s="1"/>
  <c r="H34" i="25" s="1"/>
  <c r="H35" i="25" s="1"/>
  <c r="H36" i="25" s="1"/>
  <c r="H37" i="25" s="1"/>
  <c r="H38" i="25" s="1"/>
  <c r="H39" i="25" s="1"/>
  <c r="H40" i="25" s="1"/>
  <c r="H41" i="25" s="1"/>
  <c r="H42" i="25" s="1"/>
  <c r="H43" i="25" s="1"/>
  <c r="H44" i="25" s="1"/>
  <c r="H45" i="25" s="1"/>
  <c r="H46" i="25" s="1"/>
  <c r="H47" i="25" s="1"/>
  <c r="H48" i="25" s="1"/>
  <c r="H49" i="25" s="1"/>
  <c r="H50" i="25" s="1"/>
  <c r="H51" i="25" s="1"/>
  <c r="H52" i="25" s="1"/>
  <c r="H53" i="25" s="1"/>
  <c r="H54" i="25" s="1"/>
  <c r="H55" i="25" s="1"/>
  <c r="H56" i="25" s="1"/>
  <c r="H57" i="25" s="1"/>
  <c r="H58" i="25" s="1"/>
  <c r="H59" i="25" s="1"/>
  <c r="H60" i="25" s="1"/>
  <c r="H61" i="25" s="1"/>
  <c r="H62" i="25" s="1"/>
  <c r="H63" i="25" s="1"/>
  <c r="H64" i="25" s="1"/>
  <c r="H65" i="25" s="1"/>
  <c r="H66" i="25" s="1"/>
  <c r="H67" i="25" s="1"/>
  <c r="H68" i="25" s="1"/>
  <c r="H69" i="25" s="1"/>
  <c r="H70" i="25" s="1"/>
  <c r="H71" i="25" s="1"/>
  <c r="H72" i="25" s="1"/>
  <c r="H73" i="25" s="1"/>
  <c r="H74" i="25" s="1"/>
  <c r="H75" i="25" s="1"/>
  <c r="H76" i="25" s="1"/>
  <c r="H77" i="25" s="1"/>
  <c r="H78" i="25" s="1"/>
  <c r="H79" i="25" s="1"/>
  <c r="H80" i="25" s="1"/>
  <c r="H81" i="25" s="1"/>
  <c r="H82" i="25" s="1"/>
  <c r="H83" i="25" s="1"/>
  <c r="H84" i="25" s="1"/>
  <c r="H85" i="25" s="1"/>
  <c r="H86" i="25" s="1"/>
  <c r="H87" i="25" s="1"/>
  <c r="H88" i="25" s="1"/>
  <c r="H89" i="25" s="1"/>
  <c r="H90" i="25" s="1"/>
  <c r="H91" i="25" s="1"/>
  <c r="H92" i="25" s="1"/>
  <c r="H93" i="25" s="1"/>
  <c r="H94" i="25" s="1"/>
  <c r="H95" i="25" s="1"/>
  <c r="H96" i="25" s="1"/>
  <c r="H97" i="25" s="1"/>
  <c r="H98" i="25" s="1"/>
  <c r="H99" i="25" s="1"/>
  <c r="H100" i="25" s="1"/>
  <c r="H101" i="25" s="1"/>
  <c r="H102" i="25" s="1"/>
  <c r="H103" i="25" s="1"/>
  <c r="H104" i="25" s="1"/>
  <c r="H105" i="25" s="1"/>
  <c r="H106" i="25" s="1"/>
  <c r="H107" i="25" s="1"/>
  <c r="H108" i="25" s="1"/>
  <c r="H109" i="25" s="1"/>
  <c r="H110" i="25" s="1"/>
  <c r="H111" i="25" s="1"/>
  <c r="H112" i="25" s="1"/>
  <c r="H113" i="25" s="1"/>
  <c r="H114" i="25" s="1"/>
  <c r="H115" i="25" s="1"/>
  <c r="H116" i="25" s="1"/>
  <c r="H117" i="25" s="1"/>
  <c r="H118" i="25" s="1"/>
  <c r="H119" i="25" s="1"/>
  <c r="H120" i="25" s="1"/>
  <c r="H121" i="25" s="1"/>
  <c r="H122" i="25" s="1"/>
  <c r="H123" i="25" s="1"/>
  <c r="H124" i="25" s="1"/>
  <c r="H125" i="25" s="1"/>
  <c r="H126" i="25" s="1"/>
  <c r="H127" i="25" s="1"/>
  <c r="H128" i="25" s="1"/>
  <c r="H129" i="25" s="1"/>
  <c r="H130" i="25" s="1"/>
  <c r="H131" i="25" s="1"/>
  <c r="H132" i="25" s="1"/>
  <c r="H133" i="25" s="1"/>
  <c r="H134" i="25" s="1"/>
  <c r="H135" i="25" s="1"/>
  <c r="H136" i="25" s="1"/>
  <c r="H137" i="25" s="1"/>
  <c r="H138" i="25" s="1"/>
  <c r="H139" i="25" s="1"/>
  <c r="H140" i="25" s="1"/>
  <c r="H141" i="25" s="1"/>
  <c r="H142" i="25" s="1"/>
  <c r="H143" i="25" s="1"/>
  <c r="H144" i="25" s="1"/>
  <c r="H145" i="25" s="1"/>
  <c r="H146" i="25" s="1"/>
  <c r="H147" i="25" s="1"/>
  <c r="H148" i="25" s="1"/>
  <c r="H149" i="25" s="1"/>
  <c r="H150" i="25" s="1"/>
  <c r="H151" i="25" s="1"/>
  <c r="H152" i="25" s="1"/>
  <c r="H153" i="25" s="1"/>
  <c r="H154" i="25" s="1"/>
  <c r="H155" i="25" s="1"/>
  <c r="H156" i="25" s="1"/>
  <c r="H157" i="25" s="1"/>
  <c r="H158" i="25" s="1"/>
  <c r="H159" i="25" s="1"/>
  <c r="H160" i="25" s="1"/>
  <c r="H161" i="25" s="1"/>
  <c r="H162" i="25" s="1"/>
  <c r="H163" i="25" s="1"/>
  <c r="H164" i="25" s="1"/>
  <c r="H165" i="25" s="1"/>
  <c r="H166" i="25" s="1"/>
  <c r="H167" i="25" s="1"/>
  <c r="H168" i="25" s="1"/>
  <c r="H169" i="25" s="1"/>
  <c r="H170" i="25" s="1"/>
  <c r="H171" i="25" s="1"/>
  <c r="H172" i="25" s="1"/>
  <c r="H173" i="25" s="1"/>
  <c r="H174" i="25" s="1"/>
  <c r="H175" i="25" s="1"/>
  <c r="H176" i="25" s="1"/>
  <c r="H177" i="25" s="1"/>
  <c r="H178" i="25" s="1"/>
  <c r="H179" i="25" s="1"/>
  <c r="H180" i="25" s="1"/>
  <c r="H181" i="25" s="1"/>
  <c r="H182" i="25" s="1"/>
  <c r="H183" i="25" s="1"/>
  <c r="H184" i="25" s="1"/>
  <c r="H185" i="25" s="1"/>
  <c r="H186" i="25" s="1"/>
  <c r="H187" i="25" s="1"/>
  <c r="H188" i="25" s="1"/>
  <c r="H189" i="25" s="1"/>
  <c r="H190" i="25" s="1"/>
  <c r="H191" i="25" s="1"/>
  <c r="H192" i="25" s="1"/>
  <c r="H193" i="25" s="1"/>
  <c r="H194" i="25" s="1"/>
  <c r="H195" i="25" s="1"/>
  <c r="H196" i="25" s="1"/>
  <c r="H197" i="25" s="1"/>
  <c r="H198" i="25" s="1"/>
  <c r="H199" i="25" s="1"/>
  <c r="H200" i="25" s="1"/>
  <c r="H201" i="25" s="1"/>
  <c r="H202" i="25" s="1"/>
  <c r="H203" i="25" s="1"/>
  <c r="H204" i="25" s="1"/>
  <c r="H205" i="25" s="1"/>
  <c r="H206" i="25" s="1"/>
  <c r="H207" i="25" s="1"/>
  <c r="H208" i="25" s="1"/>
  <c r="H209" i="25" s="1"/>
  <c r="H210" i="25" s="1"/>
  <c r="H211" i="25" s="1"/>
  <c r="H212" i="25" s="1"/>
  <c r="H213" i="25" s="1"/>
  <c r="H214" i="25" s="1"/>
  <c r="H215" i="25" s="1"/>
  <c r="H216" i="25" s="1"/>
  <c r="H217" i="25" s="1"/>
  <c r="H218" i="25" s="1"/>
  <c r="H219" i="25" s="1"/>
  <c r="H220" i="25" s="1"/>
  <c r="H221" i="25" s="1"/>
  <c r="H222" i="25" s="1"/>
  <c r="H223" i="25" s="1"/>
  <c r="H224" i="25" s="1"/>
  <c r="H225" i="25" s="1"/>
  <c r="H226" i="25" s="1"/>
  <c r="H227" i="25" s="1"/>
  <c r="H228" i="25" s="1"/>
  <c r="H229" i="25" s="1"/>
  <c r="H230" i="25" s="1"/>
  <c r="H231" i="25" s="1"/>
  <c r="H232" i="25" s="1"/>
  <c r="H233" i="25" s="1"/>
  <c r="H234" i="25" s="1"/>
  <c r="H235" i="25" s="1"/>
  <c r="H236" i="25" s="1"/>
  <c r="H237" i="25" s="1"/>
  <c r="H238" i="25" s="1"/>
  <c r="H239" i="25" s="1"/>
  <c r="H240" i="25" s="1"/>
  <c r="H241" i="25" s="1"/>
  <c r="H242" i="25" s="1"/>
  <c r="H243" i="25" s="1"/>
  <c r="H244" i="25" s="1"/>
  <c r="H245" i="25" s="1"/>
  <c r="H246" i="25" s="1"/>
  <c r="H247" i="25" s="1"/>
  <c r="H248" i="25" s="1"/>
  <c r="H249" i="25" s="1"/>
  <c r="H250" i="25" s="1"/>
  <c r="H251" i="25" s="1"/>
  <c r="H252" i="25" s="1"/>
  <c r="H253" i="25" s="1"/>
  <c r="H254" i="25" s="1"/>
  <c r="E254" i="24"/>
  <c r="E253" i="24"/>
  <c r="E252" i="24"/>
  <c r="E251" i="24"/>
  <c r="E250" i="24"/>
  <c r="E249" i="24"/>
  <c r="E248" i="24"/>
  <c r="E247" i="24"/>
  <c r="E246" i="24"/>
  <c r="E245" i="24"/>
  <c r="E244" i="24"/>
  <c r="E243" i="24"/>
  <c r="E242" i="24"/>
  <c r="E241" i="24"/>
  <c r="E240" i="24"/>
  <c r="E239" i="24"/>
  <c r="E238" i="24"/>
  <c r="E237" i="24"/>
  <c r="E236" i="24"/>
  <c r="E235" i="24"/>
  <c r="E234" i="24"/>
  <c r="E233" i="24"/>
  <c r="E232" i="24"/>
  <c r="E231" i="24"/>
  <c r="E230" i="24"/>
  <c r="E229" i="24"/>
  <c r="E228" i="24"/>
  <c r="E227" i="24"/>
  <c r="E226" i="24"/>
  <c r="E225" i="24"/>
  <c r="E224" i="24"/>
  <c r="E223" i="24"/>
  <c r="E222" i="24"/>
  <c r="E221" i="24"/>
  <c r="E220" i="24"/>
  <c r="E219" i="24"/>
  <c r="E218" i="24"/>
  <c r="E217" i="24"/>
  <c r="E216" i="24"/>
  <c r="E215" i="24"/>
  <c r="E214" i="24"/>
  <c r="E213" i="24"/>
  <c r="E212" i="24"/>
  <c r="E211" i="24"/>
  <c r="E210" i="24"/>
  <c r="E209" i="24"/>
  <c r="E208" i="24"/>
  <c r="E207" i="24"/>
  <c r="E206" i="24"/>
  <c r="E205" i="24"/>
  <c r="E204" i="24"/>
  <c r="E203" i="24"/>
  <c r="E202" i="24"/>
  <c r="E201" i="24"/>
  <c r="E200" i="24"/>
  <c r="E199" i="24"/>
  <c r="E198" i="24"/>
  <c r="E197" i="24"/>
  <c r="E196" i="24"/>
  <c r="E195" i="24"/>
  <c r="E194" i="24"/>
  <c r="E193" i="24"/>
  <c r="E192" i="24"/>
  <c r="E191" i="24"/>
  <c r="E190" i="24"/>
  <c r="E189" i="24"/>
  <c r="E188" i="24"/>
  <c r="E187" i="24"/>
  <c r="E186" i="24"/>
  <c r="E185" i="24"/>
  <c r="E184" i="24"/>
  <c r="E183" i="24"/>
  <c r="E182" i="24"/>
  <c r="E181" i="24"/>
  <c r="E180" i="24"/>
  <c r="E179" i="24"/>
  <c r="E178" i="24"/>
  <c r="E177" i="24"/>
  <c r="E176" i="24"/>
  <c r="E175" i="24"/>
  <c r="E174" i="24"/>
  <c r="E173" i="24"/>
  <c r="E172" i="24"/>
  <c r="E171" i="24"/>
  <c r="E170" i="24"/>
  <c r="E169" i="24"/>
  <c r="E168" i="24"/>
  <c r="E167" i="24"/>
  <c r="E166" i="24"/>
  <c r="E165" i="24"/>
  <c r="E164" i="24"/>
  <c r="E163" i="24"/>
  <c r="E162" i="24"/>
  <c r="E161" i="24"/>
  <c r="E160" i="24"/>
  <c r="E159" i="24"/>
  <c r="E158" i="24"/>
  <c r="E157" i="24"/>
  <c r="E156" i="24"/>
  <c r="E155" i="24"/>
  <c r="E154" i="24"/>
  <c r="E153" i="24"/>
  <c r="E152" i="24"/>
  <c r="E151" i="24"/>
  <c r="E150" i="24"/>
  <c r="E149" i="24"/>
  <c r="E148" i="24"/>
  <c r="E147" i="24"/>
  <c r="E146" i="24"/>
  <c r="E145" i="24"/>
  <c r="E144" i="24"/>
  <c r="E143" i="24"/>
  <c r="E142" i="24"/>
  <c r="E141" i="24"/>
  <c r="E140" i="24"/>
  <c r="E139" i="24"/>
  <c r="E138" i="24"/>
  <c r="E137" i="24"/>
  <c r="E136" i="24"/>
  <c r="E135" i="24"/>
  <c r="E134" i="24"/>
  <c r="E133" i="24"/>
  <c r="E132" i="24"/>
  <c r="E131" i="24"/>
  <c r="E130" i="24"/>
  <c r="E129" i="24"/>
  <c r="E128" i="24"/>
  <c r="E127" i="24"/>
  <c r="E126" i="24"/>
  <c r="E125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111" i="24"/>
  <c r="E110" i="24"/>
  <c r="E109" i="24"/>
  <c r="E108" i="24"/>
  <c r="E107" i="24"/>
  <c r="E106" i="24"/>
  <c r="E105" i="24"/>
  <c r="E104" i="24"/>
  <c r="E103" i="24"/>
  <c r="E102" i="24"/>
  <c r="E101" i="24"/>
  <c r="E100" i="24"/>
  <c r="E99" i="24"/>
  <c r="E98" i="24"/>
  <c r="E97" i="24"/>
  <c r="E96" i="24"/>
  <c r="E95" i="24"/>
  <c r="E94" i="24"/>
  <c r="E93" i="24"/>
  <c r="E92" i="24"/>
  <c r="E91" i="24"/>
  <c r="E90" i="24"/>
  <c r="E89" i="24"/>
  <c r="E88" i="24"/>
  <c r="E87" i="24"/>
  <c r="E86" i="24"/>
  <c r="E85" i="24"/>
  <c r="E84" i="24"/>
  <c r="E83" i="24"/>
  <c r="E82" i="24"/>
  <c r="E81" i="24"/>
  <c r="E80" i="24"/>
  <c r="E79" i="24"/>
  <c r="E78" i="24"/>
  <c r="E77" i="24"/>
  <c r="E76" i="24"/>
  <c r="E75" i="24"/>
  <c r="E74" i="24"/>
  <c r="E73" i="24"/>
  <c r="E72" i="24"/>
  <c r="E71" i="24"/>
  <c r="E70" i="24"/>
  <c r="E69" i="24"/>
  <c r="E68" i="24"/>
  <c r="E67" i="24"/>
  <c r="E66" i="24"/>
  <c r="E65" i="24"/>
  <c r="E64" i="24"/>
  <c r="E63" i="24"/>
  <c r="E62" i="24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48" i="24"/>
  <c r="E47" i="24"/>
  <c r="E46" i="24"/>
  <c r="E45" i="24"/>
  <c r="E43" i="24"/>
  <c r="E42" i="24"/>
  <c r="E41" i="24"/>
  <c r="E40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H13" i="24"/>
  <c r="H14" i="24" s="1"/>
  <c r="H15" i="24" s="1"/>
  <c r="H16" i="24" s="1"/>
  <c r="H17" i="24" s="1"/>
  <c r="H18" i="24" s="1"/>
  <c r="H19" i="24" s="1"/>
  <c r="H20" i="24" s="1"/>
  <c r="H21" i="24" s="1"/>
  <c r="H22" i="24" s="1"/>
  <c r="H23" i="24" s="1"/>
  <c r="H24" i="24" s="1"/>
  <c r="H25" i="24" s="1"/>
  <c r="H26" i="24" s="1"/>
  <c r="H27" i="24" s="1"/>
  <c r="H28" i="24" s="1"/>
  <c r="H29" i="24" s="1"/>
  <c r="H30" i="24" s="1"/>
  <c r="H31" i="24" s="1"/>
  <c r="H32" i="24" s="1"/>
  <c r="H33" i="24" s="1"/>
  <c r="H34" i="24" s="1"/>
  <c r="H35" i="24" s="1"/>
  <c r="H36" i="24" s="1"/>
  <c r="H37" i="24" s="1"/>
  <c r="H38" i="24" s="1"/>
  <c r="H39" i="24" s="1"/>
  <c r="H40" i="24" s="1"/>
  <c r="H41" i="24" s="1"/>
  <c r="H42" i="24" s="1"/>
  <c r="H43" i="24" s="1"/>
  <c r="H44" i="24" s="1"/>
  <c r="H45" i="24" s="1"/>
  <c r="H46" i="24" s="1"/>
  <c r="H47" i="24" s="1"/>
  <c r="H48" i="24" s="1"/>
  <c r="H49" i="24" s="1"/>
  <c r="H50" i="24" s="1"/>
  <c r="H51" i="24" s="1"/>
  <c r="H52" i="24" s="1"/>
  <c r="H53" i="24" s="1"/>
  <c r="H54" i="24" s="1"/>
  <c r="H55" i="24" s="1"/>
  <c r="H56" i="24" s="1"/>
  <c r="H57" i="24" s="1"/>
  <c r="H58" i="24" s="1"/>
  <c r="H59" i="24" s="1"/>
  <c r="H60" i="24" s="1"/>
  <c r="H61" i="24" s="1"/>
  <c r="H62" i="24" s="1"/>
  <c r="H63" i="24" s="1"/>
  <c r="H64" i="24" s="1"/>
  <c r="H65" i="24" s="1"/>
  <c r="H66" i="24" s="1"/>
  <c r="H67" i="24" s="1"/>
  <c r="H68" i="24" s="1"/>
  <c r="H69" i="24" s="1"/>
  <c r="H70" i="24" s="1"/>
  <c r="H71" i="24" s="1"/>
  <c r="H72" i="24" s="1"/>
  <c r="H73" i="24" s="1"/>
  <c r="H74" i="24" s="1"/>
  <c r="H75" i="24" s="1"/>
  <c r="H76" i="24" s="1"/>
  <c r="H77" i="24" s="1"/>
  <c r="H78" i="24" s="1"/>
  <c r="H79" i="24" s="1"/>
  <c r="H80" i="24" s="1"/>
  <c r="H81" i="24" s="1"/>
  <c r="H82" i="24" s="1"/>
  <c r="H83" i="24" s="1"/>
  <c r="H84" i="24" s="1"/>
  <c r="H85" i="24" s="1"/>
  <c r="H86" i="24" s="1"/>
  <c r="H87" i="24" s="1"/>
  <c r="H88" i="24" s="1"/>
  <c r="H89" i="24" s="1"/>
  <c r="H90" i="24" s="1"/>
  <c r="H91" i="24" s="1"/>
  <c r="H92" i="24" s="1"/>
  <c r="H93" i="24" s="1"/>
  <c r="H94" i="24" s="1"/>
  <c r="H95" i="24" s="1"/>
  <c r="H96" i="24" s="1"/>
  <c r="H97" i="24" s="1"/>
  <c r="H98" i="24" s="1"/>
  <c r="H99" i="24" s="1"/>
  <c r="H100" i="24" s="1"/>
  <c r="H101" i="24" s="1"/>
  <c r="H102" i="24" s="1"/>
  <c r="H103" i="24" s="1"/>
  <c r="H104" i="24" s="1"/>
  <c r="H105" i="24" s="1"/>
  <c r="H106" i="24" s="1"/>
  <c r="H107" i="24" s="1"/>
  <c r="H108" i="24" s="1"/>
  <c r="H109" i="24" s="1"/>
  <c r="H110" i="24" s="1"/>
  <c r="H111" i="24" s="1"/>
  <c r="H112" i="24" s="1"/>
  <c r="H113" i="24" s="1"/>
  <c r="H114" i="24" s="1"/>
  <c r="H115" i="24" s="1"/>
  <c r="H116" i="24" s="1"/>
  <c r="H117" i="24" s="1"/>
  <c r="H118" i="24" s="1"/>
  <c r="H119" i="24" s="1"/>
  <c r="H120" i="24" s="1"/>
  <c r="H121" i="24" s="1"/>
  <c r="H122" i="24" s="1"/>
  <c r="H123" i="24" s="1"/>
  <c r="H124" i="24" s="1"/>
  <c r="H125" i="24" s="1"/>
  <c r="H126" i="24" s="1"/>
  <c r="H127" i="24" s="1"/>
  <c r="H128" i="24" s="1"/>
  <c r="H129" i="24" s="1"/>
  <c r="H130" i="24" s="1"/>
  <c r="H131" i="24" s="1"/>
  <c r="H132" i="24" s="1"/>
  <c r="H133" i="24" s="1"/>
  <c r="H134" i="24" s="1"/>
  <c r="H135" i="24" s="1"/>
  <c r="H136" i="24" s="1"/>
  <c r="H137" i="24" s="1"/>
  <c r="H138" i="24" s="1"/>
  <c r="H139" i="24" s="1"/>
  <c r="H140" i="24" s="1"/>
  <c r="H141" i="24" s="1"/>
  <c r="H142" i="24" s="1"/>
  <c r="H143" i="24" s="1"/>
  <c r="H144" i="24" s="1"/>
  <c r="H145" i="24" s="1"/>
  <c r="H146" i="24" s="1"/>
  <c r="H147" i="24" s="1"/>
  <c r="H148" i="24" s="1"/>
  <c r="H149" i="24" s="1"/>
  <c r="H150" i="24" s="1"/>
  <c r="H151" i="24" s="1"/>
  <c r="H152" i="24" s="1"/>
  <c r="H153" i="24" s="1"/>
  <c r="H154" i="24" s="1"/>
  <c r="H155" i="24" s="1"/>
  <c r="H156" i="24" s="1"/>
  <c r="H157" i="24" s="1"/>
  <c r="H158" i="24" s="1"/>
  <c r="H159" i="24" s="1"/>
  <c r="H160" i="24" s="1"/>
  <c r="H161" i="24" s="1"/>
  <c r="H162" i="24" s="1"/>
  <c r="H163" i="24" s="1"/>
  <c r="H164" i="24" s="1"/>
  <c r="H165" i="24" s="1"/>
  <c r="H166" i="24" s="1"/>
  <c r="H167" i="24" s="1"/>
  <c r="H168" i="24" s="1"/>
  <c r="H169" i="24" s="1"/>
  <c r="H170" i="24" s="1"/>
  <c r="H171" i="24" s="1"/>
  <c r="H172" i="24" s="1"/>
  <c r="H173" i="24" s="1"/>
  <c r="H174" i="24" s="1"/>
  <c r="H175" i="24" s="1"/>
  <c r="H176" i="24" s="1"/>
  <c r="H177" i="24" s="1"/>
  <c r="H178" i="24" s="1"/>
  <c r="H179" i="24" s="1"/>
  <c r="H180" i="24" s="1"/>
  <c r="H181" i="24" s="1"/>
  <c r="H182" i="24" s="1"/>
  <c r="H183" i="24" s="1"/>
  <c r="H184" i="24" s="1"/>
  <c r="H185" i="24" s="1"/>
  <c r="H186" i="24" s="1"/>
  <c r="H187" i="24" s="1"/>
  <c r="H188" i="24" s="1"/>
  <c r="H189" i="24" s="1"/>
  <c r="H190" i="24" s="1"/>
  <c r="H191" i="24" s="1"/>
  <c r="H192" i="24" s="1"/>
  <c r="H193" i="24" s="1"/>
  <c r="H194" i="24" s="1"/>
  <c r="H195" i="24" s="1"/>
  <c r="H196" i="24" s="1"/>
  <c r="H197" i="24" s="1"/>
  <c r="H198" i="24" s="1"/>
  <c r="H199" i="24" s="1"/>
  <c r="H200" i="24" s="1"/>
  <c r="H201" i="24" s="1"/>
  <c r="H202" i="24" s="1"/>
  <c r="H203" i="24" s="1"/>
  <c r="H204" i="24" s="1"/>
  <c r="H205" i="24" s="1"/>
  <c r="H206" i="24" s="1"/>
  <c r="H207" i="24" s="1"/>
  <c r="H208" i="24" s="1"/>
  <c r="H209" i="24" s="1"/>
  <c r="H210" i="24" s="1"/>
  <c r="H211" i="24" s="1"/>
  <c r="H212" i="24" s="1"/>
  <c r="H213" i="24" s="1"/>
  <c r="H214" i="24" s="1"/>
  <c r="H215" i="24" s="1"/>
  <c r="H216" i="24" s="1"/>
  <c r="H217" i="24" s="1"/>
  <c r="H218" i="24" s="1"/>
  <c r="H219" i="24" s="1"/>
  <c r="H220" i="24" s="1"/>
  <c r="H221" i="24" s="1"/>
  <c r="H222" i="24" s="1"/>
  <c r="H223" i="24" s="1"/>
  <c r="H224" i="24" s="1"/>
  <c r="H225" i="24" s="1"/>
  <c r="H226" i="24" s="1"/>
  <c r="H227" i="24" s="1"/>
  <c r="H228" i="24" s="1"/>
  <c r="H229" i="24" s="1"/>
  <c r="H230" i="24" s="1"/>
  <c r="H231" i="24" s="1"/>
  <c r="H232" i="24" s="1"/>
  <c r="H233" i="24" s="1"/>
  <c r="H234" i="24" s="1"/>
  <c r="H235" i="24" s="1"/>
  <c r="H236" i="24" s="1"/>
  <c r="H237" i="24" s="1"/>
  <c r="H238" i="24" s="1"/>
  <c r="H239" i="24" s="1"/>
  <c r="H240" i="24" s="1"/>
  <c r="H241" i="24" s="1"/>
  <c r="H242" i="24" s="1"/>
  <c r="H243" i="24" s="1"/>
  <c r="H244" i="24" s="1"/>
  <c r="H245" i="24" s="1"/>
  <c r="H246" i="24" s="1"/>
  <c r="H247" i="24" s="1"/>
  <c r="H248" i="24" s="1"/>
  <c r="H249" i="24" s="1"/>
  <c r="H250" i="24" s="1"/>
  <c r="H251" i="24" s="1"/>
  <c r="H252" i="24" s="1"/>
  <c r="H253" i="24" s="1"/>
  <c r="H254" i="24" s="1"/>
  <c r="E254" i="23"/>
  <c r="E253" i="23"/>
  <c r="E252" i="23"/>
  <c r="E251" i="23"/>
  <c r="E250" i="23"/>
  <c r="E249" i="23"/>
  <c r="E248" i="23"/>
  <c r="E247" i="23"/>
  <c r="E246" i="23"/>
  <c r="E245" i="23"/>
  <c r="E244" i="23"/>
  <c r="E243" i="23"/>
  <c r="E242" i="23"/>
  <c r="E241" i="23"/>
  <c r="E240" i="23"/>
  <c r="E239" i="23"/>
  <c r="E238" i="23"/>
  <c r="E237" i="23"/>
  <c r="E236" i="23"/>
  <c r="E235" i="23"/>
  <c r="E234" i="23"/>
  <c r="E233" i="23"/>
  <c r="E232" i="23"/>
  <c r="E231" i="23"/>
  <c r="E230" i="23"/>
  <c r="E229" i="23"/>
  <c r="E228" i="23"/>
  <c r="E227" i="23"/>
  <c r="E226" i="23"/>
  <c r="E225" i="23"/>
  <c r="E224" i="23"/>
  <c r="E223" i="23"/>
  <c r="E222" i="23"/>
  <c r="E221" i="23"/>
  <c r="E220" i="23"/>
  <c r="E219" i="23"/>
  <c r="E218" i="23"/>
  <c r="E217" i="23"/>
  <c r="E216" i="23"/>
  <c r="E215" i="23"/>
  <c r="E214" i="23"/>
  <c r="E213" i="23"/>
  <c r="E212" i="23"/>
  <c r="E211" i="23"/>
  <c r="E210" i="23"/>
  <c r="E209" i="23"/>
  <c r="E208" i="23"/>
  <c r="E207" i="23"/>
  <c r="E206" i="23"/>
  <c r="E205" i="23"/>
  <c r="E204" i="23"/>
  <c r="E203" i="23"/>
  <c r="E202" i="23"/>
  <c r="E201" i="23"/>
  <c r="E200" i="23"/>
  <c r="E199" i="23"/>
  <c r="E198" i="23"/>
  <c r="E197" i="23"/>
  <c r="E196" i="23"/>
  <c r="E195" i="23"/>
  <c r="E194" i="23"/>
  <c r="E193" i="23"/>
  <c r="E192" i="23"/>
  <c r="E191" i="23"/>
  <c r="E190" i="23"/>
  <c r="E189" i="23"/>
  <c r="E188" i="23"/>
  <c r="E187" i="23"/>
  <c r="E186" i="23"/>
  <c r="E185" i="23"/>
  <c r="E184" i="23"/>
  <c r="E183" i="23"/>
  <c r="E182" i="23"/>
  <c r="E181" i="23"/>
  <c r="E180" i="23"/>
  <c r="E179" i="23"/>
  <c r="E178" i="23"/>
  <c r="E177" i="23"/>
  <c r="E176" i="23"/>
  <c r="E175" i="23"/>
  <c r="E174" i="23"/>
  <c r="E173" i="23"/>
  <c r="E172" i="23"/>
  <c r="E171" i="23"/>
  <c r="E170" i="23"/>
  <c r="E169" i="23"/>
  <c r="E168" i="23"/>
  <c r="E167" i="23"/>
  <c r="E166" i="23"/>
  <c r="E165" i="23"/>
  <c r="E164" i="23"/>
  <c r="E163" i="23"/>
  <c r="E162" i="23"/>
  <c r="E161" i="23"/>
  <c r="E160" i="23"/>
  <c r="E159" i="23"/>
  <c r="E158" i="23"/>
  <c r="E157" i="23"/>
  <c r="E156" i="23"/>
  <c r="E155" i="23"/>
  <c r="E154" i="23"/>
  <c r="E153" i="23"/>
  <c r="E152" i="23"/>
  <c r="E151" i="23"/>
  <c r="E150" i="23"/>
  <c r="E149" i="23"/>
  <c r="E148" i="23"/>
  <c r="E147" i="23"/>
  <c r="E146" i="23"/>
  <c r="E145" i="23"/>
  <c r="E144" i="23"/>
  <c r="E143" i="23"/>
  <c r="E142" i="23"/>
  <c r="E141" i="23"/>
  <c r="E140" i="23"/>
  <c r="E139" i="23"/>
  <c r="E138" i="23"/>
  <c r="E137" i="23"/>
  <c r="E136" i="23"/>
  <c r="E135" i="23"/>
  <c r="E134" i="23"/>
  <c r="E133" i="23"/>
  <c r="E132" i="23"/>
  <c r="E131" i="23"/>
  <c r="E130" i="23"/>
  <c r="E129" i="23"/>
  <c r="E128" i="23"/>
  <c r="E127" i="23"/>
  <c r="E126" i="23"/>
  <c r="E125" i="23"/>
  <c r="E124" i="23"/>
  <c r="E123" i="23"/>
  <c r="E122" i="23"/>
  <c r="E121" i="23"/>
  <c r="E120" i="23"/>
  <c r="E119" i="23"/>
  <c r="E118" i="23"/>
  <c r="E117" i="23"/>
  <c r="E116" i="23"/>
  <c r="E115" i="23"/>
  <c r="E114" i="23"/>
  <c r="E113" i="23"/>
  <c r="E112" i="23"/>
  <c r="E111" i="23"/>
  <c r="E110" i="23"/>
  <c r="E109" i="23"/>
  <c r="E108" i="23"/>
  <c r="E107" i="23"/>
  <c r="E106" i="23"/>
  <c r="E105" i="23"/>
  <c r="E104" i="23"/>
  <c r="E103" i="23"/>
  <c r="E102" i="23"/>
  <c r="E101" i="23"/>
  <c r="E100" i="23"/>
  <c r="E99" i="23"/>
  <c r="E98" i="23"/>
  <c r="E97" i="23"/>
  <c r="E96" i="23"/>
  <c r="E95" i="23"/>
  <c r="E94" i="23"/>
  <c r="E93" i="23"/>
  <c r="E92" i="23"/>
  <c r="E91" i="23"/>
  <c r="E90" i="23"/>
  <c r="E89" i="23"/>
  <c r="E88" i="23"/>
  <c r="E87" i="23"/>
  <c r="E86" i="23"/>
  <c r="E85" i="23"/>
  <c r="E84" i="23"/>
  <c r="E83" i="23"/>
  <c r="E82" i="23"/>
  <c r="E81" i="23"/>
  <c r="E80" i="23"/>
  <c r="E79" i="23"/>
  <c r="E78" i="23"/>
  <c r="E77" i="23"/>
  <c r="E76" i="23"/>
  <c r="E75" i="23"/>
  <c r="E74" i="23"/>
  <c r="E73" i="23"/>
  <c r="E72" i="23"/>
  <c r="E71" i="23"/>
  <c r="E70" i="23"/>
  <c r="E69" i="23"/>
  <c r="E68" i="23"/>
  <c r="E67" i="23"/>
  <c r="E66" i="23"/>
  <c r="E65" i="23"/>
  <c r="E64" i="23"/>
  <c r="E63" i="23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43" i="23"/>
  <c r="E42" i="23"/>
  <c r="E41" i="23"/>
  <c r="E40" i="23"/>
  <c r="E39" i="23"/>
  <c r="E38" i="23"/>
  <c r="E37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H13" i="23"/>
  <c r="H14" i="23" s="1"/>
  <c r="H15" i="23" s="1"/>
  <c r="H16" i="23" s="1"/>
  <c r="H17" i="23" s="1"/>
  <c r="H18" i="23" s="1"/>
  <c r="H19" i="23" s="1"/>
  <c r="H20" i="23" s="1"/>
  <c r="H21" i="23" s="1"/>
  <c r="H22" i="23" s="1"/>
  <c r="H23" i="23" s="1"/>
  <c r="H24" i="23" s="1"/>
  <c r="H25" i="23" s="1"/>
  <c r="H26" i="23" s="1"/>
  <c r="H27" i="23" s="1"/>
  <c r="H28" i="23" s="1"/>
  <c r="H29" i="23" s="1"/>
  <c r="H30" i="23" s="1"/>
  <c r="H31" i="23" s="1"/>
  <c r="H32" i="23" s="1"/>
  <c r="H33" i="23" s="1"/>
  <c r="H34" i="23" s="1"/>
  <c r="H35" i="23" s="1"/>
  <c r="H36" i="23" s="1"/>
  <c r="H37" i="23" s="1"/>
  <c r="H38" i="23" s="1"/>
  <c r="H39" i="23" s="1"/>
  <c r="H40" i="23" s="1"/>
  <c r="H41" i="23" s="1"/>
  <c r="H42" i="23" s="1"/>
  <c r="H43" i="23" s="1"/>
  <c r="H44" i="23" s="1"/>
  <c r="H45" i="23" s="1"/>
  <c r="H46" i="23" s="1"/>
  <c r="H47" i="23" s="1"/>
  <c r="H48" i="23" s="1"/>
  <c r="H49" i="23" s="1"/>
  <c r="H50" i="23" s="1"/>
  <c r="H51" i="23" s="1"/>
  <c r="H52" i="23" s="1"/>
  <c r="H53" i="23" s="1"/>
  <c r="H54" i="23" s="1"/>
  <c r="H55" i="23" s="1"/>
  <c r="H56" i="23" s="1"/>
  <c r="H57" i="23" s="1"/>
  <c r="H58" i="23" s="1"/>
  <c r="H59" i="23" s="1"/>
  <c r="H60" i="23" s="1"/>
  <c r="H61" i="23" s="1"/>
  <c r="H62" i="23" s="1"/>
  <c r="H63" i="23" s="1"/>
  <c r="H64" i="23" s="1"/>
  <c r="H65" i="23" s="1"/>
  <c r="H66" i="23" s="1"/>
  <c r="H67" i="23" s="1"/>
  <c r="H68" i="23" s="1"/>
  <c r="H69" i="23" s="1"/>
  <c r="H70" i="23" s="1"/>
  <c r="H71" i="23" s="1"/>
  <c r="H72" i="23" s="1"/>
  <c r="H73" i="23" s="1"/>
  <c r="H74" i="23" s="1"/>
  <c r="H75" i="23" s="1"/>
  <c r="H76" i="23" s="1"/>
  <c r="H77" i="23" s="1"/>
  <c r="H78" i="23" s="1"/>
  <c r="H79" i="23" s="1"/>
  <c r="H80" i="23" s="1"/>
  <c r="H81" i="23" s="1"/>
  <c r="H82" i="23" s="1"/>
  <c r="H83" i="23" s="1"/>
  <c r="H84" i="23" s="1"/>
  <c r="H85" i="23" s="1"/>
  <c r="H86" i="23" s="1"/>
  <c r="H87" i="23" s="1"/>
  <c r="H88" i="23" s="1"/>
  <c r="H89" i="23" s="1"/>
  <c r="H90" i="23" s="1"/>
  <c r="H91" i="23" s="1"/>
  <c r="H92" i="23" s="1"/>
  <c r="H93" i="23" s="1"/>
  <c r="H94" i="23" s="1"/>
  <c r="H95" i="23" s="1"/>
  <c r="H96" i="23" s="1"/>
  <c r="H97" i="23" s="1"/>
  <c r="H98" i="23" s="1"/>
  <c r="H99" i="23" s="1"/>
  <c r="H100" i="23" s="1"/>
  <c r="H101" i="23" s="1"/>
  <c r="H102" i="23" s="1"/>
  <c r="H103" i="23" s="1"/>
  <c r="H104" i="23" s="1"/>
  <c r="H105" i="23" s="1"/>
  <c r="H106" i="23" s="1"/>
  <c r="H107" i="23" s="1"/>
  <c r="H108" i="23" s="1"/>
  <c r="H109" i="23" s="1"/>
  <c r="H110" i="23" s="1"/>
  <c r="H111" i="23" s="1"/>
  <c r="H112" i="23" s="1"/>
  <c r="H113" i="23" s="1"/>
  <c r="H114" i="23" s="1"/>
  <c r="H115" i="23" s="1"/>
  <c r="H116" i="23" s="1"/>
  <c r="H117" i="23" s="1"/>
  <c r="H118" i="23" s="1"/>
  <c r="H119" i="23" s="1"/>
  <c r="H120" i="23" s="1"/>
  <c r="H121" i="23" s="1"/>
  <c r="H122" i="23" s="1"/>
  <c r="H123" i="23" s="1"/>
  <c r="H124" i="23" s="1"/>
  <c r="H125" i="23" s="1"/>
  <c r="H126" i="23" s="1"/>
  <c r="H127" i="23" s="1"/>
  <c r="H128" i="23" s="1"/>
  <c r="H129" i="23" s="1"/>
  <c r="H130" i="23" s="1"/>
  <c r="H131" i="23" s="1"/>
  <c r="H132" i="23" s="1"/>
  <c r="H133" i="23" s="1"/>
  <c r="H134" i="23" s="1"/>
  <c r="H135" i="23" s="1"/>
  <c r="H136" i="23" s="1"/>
  <c r="H137" i="23" s="1"/>
  <c r="H138" i="23" s="1"/>
  <c r="H139" i="23" s="1"/>
  <c r="H140" i="23" s="1"/>
  <c r="H141" i="23" s="1"/>
  <c r="H142" i="23" s="1"/>
  <c r="H143" i="23" s="1"/>
  <c r="H144" i="23" s="1"/>
  <c r="H145" i="23" s="1"/>
  <c r="H146" i="23" s="1"/>
  <c r="H147" i="23" s="1"/>
  <c r="H148" i="23" s="1"/>
  <c r="H149" i="23" s="1"/>
  <c r="H150" i="23" s="1"/>
  <c r="H151" i="23" s="1"/>
  <c r="H152" i="23" s="1"/>
  <c r="H153" i="23" s="1"/>
  <c r="H154" i="23" s="1"/>
  <c r="H155" i="23" s="1"/>
  <c r="H156" i="23" s="1"/>
  <c r="H157" i="23" s="1"/>
  <c r="H158" i="23" s="1"/>
  <c r="H159" i="23" s="1"/>
  <c r="H160" i="23" s="1"/>
  <c r="H161" i="23" s="1"/>
  <c r="H162" i="23" s="1"/>
  <c r="H163" i="23" s="1"/>
  <c r="H164" i="23" s="1"/>
  <c r="H165" i="23" s="1"/>
  <c r="H166" i="23" s="1"/>
  <c r="H167" i="23" s="1"/>
  <c r="H168" i="23" s="1"/>
  <c r="H169" i="23" s="1"/>
  <c r="H170" i="23" s="1"/>
  <c r="H171" i="23" s="1"/>
  <c r="H172" i="23" s="1"/>
  <c r="H173" i="23" s="1"/>
  <c r="H174" i="23" s="1"/>
  <c r="H175" i="23" s="1"/>
  <c r="H176" i="23" s="1"/>
  <c r="H177" i="23" s="1"/>
  <c r="H178" i="23" s="1"/>
  <c r="H179" i="23" s="1"/>
  <c r="H180" i="23" s="1"/>
  <c r="H181" i="23" s="1"/>
  <c r="H182" i="23" s="1"/>
  <c r="H183" i="23" s="1"/>
  <c r="H184" i="23" s="1"/>
  <c r="H185" i="23" s="1"/>
  <c r="H186" i="23" s="1"/>
  <c r="H187" i="23" s="1"/>
  <c r="H188" i="23" s="1"/>
  <c r="H189" i="23" s="1"/>
  <c r="H190" i="23" s="1"/>
  <c r="H191" i="23" s="1"/>
  <c r="H192" i="23" s="1"/>
  <c r="H193" i="23" s="1"/>
  <c r="H194" i="23" s="1"/>
  <c r="H195" i="23" s="1"/>
  <c r="H196" i="23" s="1"/>
  <c r="H197" i="23" s="1"/>
  <c r="H198" i="23" s="1"/>
  <c r="H199" i="23" s="1"/>
  <c r="H200" i="23" s="1"/>
  <c r="H201" i="23" s="1"/>
  <c r="H202" i="23" s="1"/>
  <c r="H203" i="23" s="1"/>
  <c r="H204" i="23" s="1"/>
  <c r="H205" i="23" s="1"/>
  <c r="H206" i="23" s="1"/>
  <c r="H207" i="23" s="1"/>
  <c r="H208" i="23" s="1"/>
  <c r="H209" i="23" s="1"/>
  <c r="H210" i="23" s="1"/>
  <c r="H211" i="23" s="1"/>
  <c r="H212" i="23" s="1"/>
  <c r="H213" i="23" s="1"/>
  <c r="H214" i="23" s="1"/>
  <c r="H215" i="23" s="1"/>
  <c r="H216" i="23" s="1"/>
  <c r="H217" i="23" s="1"/>
  <c r="H218" i="23" s="1"/>
  <c r="H219" i="23" s="1"/>
  <c r="H220" i="23" s="1"/>
  <c r="H221" i="23" s="1"/>
  <c r="H222" i="23" s="1"/>
  <c r="H223" i="23" s="1"/>
  <c r="H224" i="23" s="1"/>
  <c r="H225" i="23" s="1"/>
  <c r="H226" i="23" s="1"/>
  <c r="H227" i="23" s="1"/>
  <c r="H228" i="23" s="1"/>
  <c r="H229" i="23" s="1"/>
  <c r="H230" i="23" s="1"/>
  <c r="H231" i="23" s="1"/>
  <c r="H232" i="23" s="1"/>
  <c r="H233" i="23" s="1"/>
  <c r="H234" i="23" s="1"/>
  <c r="H235" i="23" s="1"/>
  <c r="H236" i="23" s="1"/>
  <c r="H237" i="23" s="1"/>
  <c r="H238" i="23" s="1"/>
  <c r="H239" i="23" s="1"/>
  <c r="H240" i="23" s="1"/>
  <c r="H241" i="23" s="1"/>
  <c r="H242" i="23" s="1"/>
  <c r="H243" i="23" s="1"/>
  <c r="H244" i="23" s="1"/>
  <c r="H245" i="23" s="1"/>
  <c r="H246" i="23" s="1"/>
  <c r="H247" i="23" s="1"/>
  <c r="H248" i="23" s="1"/>
  <c r="H249" i="23" s="1"/>
  <c r="H250" i="23" s="1"/>
  <c r="H251" i="23" s="1"/>
  <c r="H252" i="23" s="1"/>
  <c r="H253" i="23" s="1"/>
  <c r="H254" i="23" s="1"/>
  <c r="E254" i="22"/>
  <c r="E253" i="22"/>
  <c r="E252" i="22"/>
  <c r="E251" i="22"/>
  <c r="E250" i="22"/>
  <c r="E249" i="22"/>
  <c r="E248" i="22"/>
  <c r="E247" i="22"/>
  <c r="E246" i="22"/>
  <c r="E245" i="22"/>
  <c r="E244" i="22"/>
  <c r="E243" i="22"/>
  <c r="E242" i="22"/>
  <c r="E241" i="22"/>
  <c r="E240" i="22"/>
  <c r="E239" i="22"/>
  <c r="E238" i="22"/>
  <c r="E237" i="22"/>
  <c r="E236" i="22"/>
  <c r="E235" i="22"/>
  <c r="E234" i="22"/>
  <c r="E233" i="22"/>
  <c r="E232" i="22"/>
  <c r="E231" i="22"/>
  <c r="E230" i="22"/>
  <c r="E229" i="22"/>
  <c r="E228" i="22"/>
  <c r="E227" i="22"/>
  <c r="E226" i="22"/>
  <c r="E225" i="22"/>
  <c r="E224" i="22"/>
  <c r="E223" i="22"/>
  <c r="E222" i="22"/>
  <c r="E221" i="22"/>
  <c r="E220" i="22"/>
  <c r="E219" i="22"/>
  <c r="E218" i="22"/>
  <c r="E217" i="22"/>
  <c r="E216" i="22"/>
  <c r="E215" i="22"/>
  <c r="E214" i="22"/>
  <c r="E213" i="22"/>
  <c r="E212" i="22"/>
  <c r="E211" i="22"/>
  <c r="E210" i="22"/>
  <c r="E209" i="22"/>
  <c r="E208" i="22"/>
  <c r="E207" i="22"/>
  <c r="E206" i="22"/>
  <c r="E205" i="22"/>
  <c r="E204" i="22"/>
  <c r="E203" i="22"/>
  <c r="E202" i="22"/>
  <c r="E201" i="22"/>
  <c r="E200" i="22"/>
  <c r="E199" i="22"/>
  <c r="E198" i="22"/>
  <c r="E197" i="22"/>
  <c r="E196" i="22"/>
  <c r="E195" i="22"/>
  <c r="E194" i="22"/>
  <c r="E193" i="22"/>
  <c r="E192" i="22"/>
  <c r="E191" i="22"/>
  <c r="E190" i="22"/>
  <c r="E189" i="22"/>
  <c r="E188" i="22"/>
  <c r="E187" i="22"/>
  <c r="E186" i="22"/>
  <c r="E185" i="22"/>
  <c r="E184" i="22"/>
  <c r="E183" i="22"/>
  <c r="E182" i="22"/>
  <c r="E181" i="22"/>
  <c r="E180" i="22"/>
  <c r="E179" i="22"/>
  <c r="E178" i="22"/>
  <c r="E177" i="22"/>
  <c r="E176" i="22"/>
  <c r="E175" i="22"/>
  <c r="E174" i="22"/>
  <c r="E173" i="22"/>
  <c r="E172" i="22"/>
  <c r="E171" i="22"/>
  <c r="E170" i="22"/>
  <c r="E169" i="22"/>
  <c r="E168" i="22"/>
  <c r="E167" i="22"/>
  <c r="E166" i="22"/>
  <c r="E165" i="22"/>
  <c r="E164" i="22"/>
  <c r="E163" i="22"/>
  <c r="E162" i="22"/>
  <c r="E161" i="22"/>
  <c r="E160" i="22"/>
  <c r="E159" i="22"/>
  <c r="E158" i="22"/>
  <c r="E157" i="22"/>
  <c r="E156" i="22"/>
  <c r="E155" i="22"/>
  <c r="E154" i="22"/>
  <c r="E153" i="22"/>
  <c r="E152" i="22"/>
  <c r="E151" i="22"/>
  <c r="E150" i="22"/>
  <c r="E149" i="22"/>
  <c r="E148" i="22"/>
  <c r="E147" i="22"/>
  <c r="E146" i="22"/>
  <c r="E145" i="22"/>
  <c r="E144" i="22"/>
  <c r="E143" i="22"/>
  <c r="E142" i="22"/>
  <c r="E141" i="22"/>
  <c r="E140" i="22"/>
  <c r="E139" i="22"/>
  <c r="E138" i="22"/>
  <c r="E137" i="22"/>
  <c r="E136" i="22"/>
  <c r="E135" i="22"/>
  <c r="E134" i="22"/>
  <c r="E133" i="22"/>
  <c r="E132" i="22"/>
  <c r="E131" i="22"/>
  <c r="E130" i="22"/>
  <c r="E129" i="22"/>
  <c r="E128" i="22"/>
  <c r="E127" i="22"/>
  <c r="E126" i="22"/>
  <c r="E125" i="22"/>
  <c r="E124" i="22"/>
  <c r="E123" i="22"/>
  <c r="E122" i="22"/>
  <c r="E121" i="22"/>
  <c r="E120" i="22"/>
  <c r="E119" i="22"/>
  <c r="E118" i="22"/>
  <c r="E117" i="22"/>
  <c r="E116" i="22"/>
  <c r="E115" i="22"/>
  <c r="E114" i="22"/>
  <c r="E113" i="22"/>
  <c r="E112" i="22"/>
  <c r="E111" i="22"/>
  <c r="E110" i="22"/>
  <c r="E109" i="22"/>
  <c r="E108" i="22"/>
  <c r="E107" i="22"/>
  <c r="E106" i="22"/>
  <c r="E105" i="22"/>
  <c r="E104" i="22"/>
  <c r="E103" i="22"/>
  <c r="E102" i="22"/>
  <c r="E101" i="22"/>
  <c r="E100" i="22"/>
  <c r="E99" i="22"/>
  <c r="E98" i="22"/>
  <c r="E97" i="22"/>
  <c r="E96" i="22"/>
  <c r="E95" i="22"/>
  <c r="E94" i="22"/>
  <c r="E93" i="22"/>
  <c r="E92" i="22"/>
  <c r="E91" i="22"/>
  <c r="E90" i="22"/>
  <c r="E89" i="22"/>
  <c r="E88" i="22"/>
  <c r="E87" i="22"/>
  <c r="E86" i="22"/>
  <c r="E85" i="22"/>
  <c r="E84" i="22"/>
  <c r="E83" i="22"/>
  <c r="E82" i="22"/>
  <c r="E81" i="22"/>
  <c r="E80" i="22"/>
  <c r="E79" i="22"/>
  <c r="E78" i="22"/>
  <c r="E77" i="22"/>
  <c r="E76" i="22"/>
  <c r="E75" i="22"/>
  <c r="E74" i="22"/>
  <c r="E73" i="22"/>
  <c r="E72" i="22"/>
  <c r="E71" i="22"/>
  <c r="E70" i="22"/>
  <c r="E69" i="22"/>
  <c r="E68" i="22"/>
  <c r="E67" i="22"/>
  <c r="E66" i="22"/>
  <c r="E65" i="22"/>
  <c r="E64" i="22"/>
  <c r="E63" i="2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E48" i="22"/>
  <c r="E47" i="22"/>
  <c r="E46" i="22"/>
  <c r="E45" i="22"/>
  <c r="E43" i="22"/>
  <c r="E42" i="22"/>
  <c r="E41" i="22"/>
  <c r="E40" i="22"/>
  <c r="E39" i="22"/>
  <c r="E38" i="22"/>
  <c r="E37" i="22"/>
  <c r="E36" i="22"/>
  <c r="E35" i="22"/>
  <c r="E34" i="22"/>
  <c r="E33" i="22"/>
  <c r="E32" i="22"/>
  <c r="E31" i="22"/>
  <c r="E30" i="22"/>
  <c r="E29" i="22"/>
  <c r="E28" i="22"/>
  <c r="E27" i="22"/>
  <c r="E26" i="22"/>
  <c r="E25" i="22"/>
  <c r="E24" i="22"/>
  <c r="E23" i="22"/>
  <c r="E22" i="22"/>
  <c r="E21" i="22"/>
  <c r="E20" i="22"/>
  <c r="E19" i="22"/>
  <c r="E18" i="22"/>
  <c r="E17" i="22"/>
  <c r="E16" i="22"/>
  <c r="E15" i="22"/>
  <c r="E14" i="22"/>
  <c r="E13" i="22"/>
  <c r="H13" i="22"/>
  <c r="H14" i="22" s="1"/>
  <c r="H15" i="22" s="1"/>
  <c r="H16" i="22" s="1"/>
  <c r="H17" i="22" s="1"/>
  <c r="H18" i="22" s="1"/>
  <c r="H19" i="22" s="1"/>
  <c r="H20" i="22" s="1"/>
  <c r="H21" i="22" s="1"/>
  <c r="H22" i="22" s="1"/>
  <c r="H23" i="22" s="1"/>
  <c r="H24" i="22" s="1"/>
  <c r="H25" i="22" s="1"/>
  <c r="H26" i="22" s="1"/>
  <c r="H27" i="22" s="1"/>
  <c r="H28" i="22" s="1"/>
  <c r="H29" i="22" s="1"/>
  <c r="H30" i="22" s="1"/>
  <c r="H31" i="22" s="1"/>
  <c r="H32" i="22" s="1"/>
  <c r="H33" i="22" s="1"/>
  <c r="H34" i="22" s="1"/>
  <c r="H35" i="22" s="1"/>
  <c r="H36" i="22" s="1"/>
  <c r="H37" i="22" s="1"/>
  <c r="H38" i="22" s="1"/>
  <c r="H39" i="22" s="1"/>
  <c r="H40" i="22" s="1"/>
  <c r="H41" i="22" s="1"/>
  <c r="H42" i="22" s="1"/>
  <c r="H43" i="22" s="1"/>
  <c r="H44" i="22" s="1"/>
  <c r="H45" i="22" s="1"/>
  <c r="H46" i="22" s="1"/>
  <c r="H47" i="22" s="1"/>
  <c r="H48" i="22" s="1"/>
  <c r="H49" i="22" s="1"/>
  <c r="H50" i="22" s="1"/>
  <c r="H51" i="22" s="1"/>
  <c r="H52" i="22" s="1"/>
  <c r="H53" i="22" s="1"/>
  <c r="H54" i="22" s="1"/>
  <c r="H55" i="22" s="1"/>
  <c r="H56" i="22" s="1"/>
  <c r="H57" i="22" s="1"/>
  <c r="H58" i="22" s="1"/>
  <c r="H59" i="22" s="1"/>
  <c r="H60" i="22" s="1"/>
  <c r="H61" i="22" s="1"/>
  <c r="H62" i="22" s="1"/>
  <c r="H63" i="22" s="1"/>
  <c r="H64" i="22" s="1"/>
  <c r="H65" i="22" s="1"/>
  <c r="H66" i="22" s="1"/>
  <c r="H67" i="22" s="1"/>
  <c r="H68" i="22" s="1"/>
  <c r="H69" i="22" s="1"/>
  <c r="H70" i="22" s="1"/>
  <c r="H71" i="22" s="1"/>
  <c r="H72" i="22" s="1"/>
  <c r="H73" i="22" s="1"/>
  <c r="H74" i="22" s="1"/>
  <c r="H75" i="22" s="1"/>
  <c r="H76" i="22" s="1"/>
  <c r="H77" i="22" s="1"/>
  <c r="H78" i="22" s="1"/>
  <c r="H79" i="22" s="1"/>
  <c r="H80" i="22" s="1"/>
  <c r="H81" i="22" s="1"/>
  <c r="H82" i="22" s="1"/>
  <c r="H83" i="22" s="1"/>
  <c r="H84" i="22" s="1"/>
  <c r="H85" i="22" s="1"/>
  <c r="H86" i="22" s="1"/>
  <c r="H87" i="22" s="1"/>
  <c r="H88" i="22" s="1"/>
  <c r="H89" i="22" s="1"/>
  <c r="H90" i="22" s="1"/>
  <c r="H91" i="22" s="1"/>
  <c r="H92" i="22" s="1"/>
  <c r="H93" i="22" s="1"/>
  <c r="H94" i="22" s="1"/>
  <c r="H95" i="22" s="1"/>
  <c r="H96" i="22" s="1"/>
  <c r="H97" i="22" s="1"/>
  <c r="H98" i="22" s="1"/>
  <c r="H99" i="22" s="1"/>
  <c r="H100" i="22" s="1"/>
  <c r="H101" i="22" s="1"/>
  <c r="H102" i="22" s="1"/>
  <c r="H103" i="22" s="1"/>
  <c r="H104" i="22" s="1"/>
  <c r="H105" i="22" s="1"/>
  <c r="H106" i="22" s="1"/>
  <c r="H107" i="22" s="1"/>
  <c r="H108" i="22" s="1"/>
  <c r="H109" i="22" s="1"/>
  <c r="H110" i="22" s="1"/>
  <c r="H111" i="22" s="1"/>
  <c r="H112" i="22" s="1"/>
  <c r="H113" i="22" s="1"/>
  <c r="H114" i="22" s="1"/>
  <c r="H115" i="22" s="1"/>
  <c r="H116" i="22" s="1"/>
  <c r="H117" i="22" s="1"/>
  <c r="H118" i="22" s="1"/>
  <c r="H119" i="22" s="1"/>
  <c r="H120" i="22" s="1"/>
  <c r="H121" i="22" s="1"/>
  <c r="H122" i="22" s="1"/>
  <c r="H123" i="22" s="1"/>
  <c r="H124" i="22" s="1"/>
  <c r="H125" i="22" s="1"/>
  <c r="H126" i="22" s="1"/>
  <c r="H127" i="22" s="1"/>
  <c r="H128" i="22" s="1"/>
  <c r="H129" i="22" s="1"/>
  <c r="H130" i="22" s="1"/>
  <c r="H131" i="22" s="1"/>
  <c r="H132" i="22" s="1"/>
  <c r="H133" i="22" s="1"/>
  <c r="H134" i="22" s="1"/>
  <c r="H135" i="22" s="1"/>
  <c r="H136" i="22" s="1"/>
  <c r="H137" i="22" s="1"/>
  <c r="H138" i="22" s="1"/>
  <c r="H139" i="22" s="1"/>
  <c r="H140" i="22" s="1"/>
  <c r="H141" i="22" s="1"/>
  <c r="H142" i="22" s="1"/>
  <c r="H143" i="22" s="1"/>
  <c r="H144" i="22" s="1"/>
  <c r="H145" i="22" s="1"/>
  <c r="H146" i="22" s="1"/>
  <c r="H147" i="22" s="1"/>
  <c r="H148" i="22" s="1"/>
  <c r="H149" i="22" s="1"/>
  <c r="H150" i="22" s="1"/>
  <c r="H151" i="22" s="1"/>
  <c r="H152" i="22" s="1"/>
  <c r="H153" i="22" s="1"/>
  <c r="H154" i="22" s="1"/>
  <c r="H155" i="22" s="1"/>
  <c r="H156" i="22" s="1"/>
  <c r="H157" i="22" s="1"/>
  <c r="H158" i="22" s="1"/>
  <c r="H159" i="22" s="1"/>
  <c r="H160" i="22" s="1"/>
  <c r="H161" i="22" s="1"/>
  <c r="H162" i="22" s="1"/>
  <c r="H163" i="22" s="1"/>
  <c r="H164" i="22" s="1"/>
  <c r="H165" i="22" s="1"/>
  <c r="H166" i="22" s="1"/>
  <c r="H167" i="22" s="1"/>
  <c r="H168" i="22" s="1"/>
  <c r="H169" i="22" s="1"/>
  <c r="H170" i="22" s="1"/>
  <c r="H171" i="22" s="1"/>
  <c r="H172" i="22" s="1"/>
  <c r="H173" i="22" s="1"/>
  <c r="H174" i="22" s="1"/>
  <c r="H175" i="22" s="1"/>
  <c r="H176" i="22" s="1"/>
  <c r="H177" i="22" s="1"/>
  <c r="H178" i="22" s="1"/>
  <c r="H179" i="22" s="1"/>
  <c r="H180" i="22" s="1"/>
  <c r="H181" i="22" s="1"/>
  <c r="H182" i="22" s="1"/>
  <c r="H183" i="22" s="1"/>
  <c r="H184" i="22" s="1"/>
  <c r="H185" i="22" s="1"/>
  <c r="H186" i="22" s="1"/>
  <c r="H187" i="22" s="1"/>
  <c r="H188" i="22" s="1"/>
  <c r="H189" i="22" s="1"/>
  <c r="H190" i="22" s="1"/>
  <c r="H191" i="22" s="1"/>
  <c r="H192" i="22" s="1"/>
  <c r="H193" i="22" s="1"/>
  <c r="H194" i="22" s="1"/>
  <c r="H195" i="22" s="1"/>
  <c r="H196" i="22" s="1"/>
  <c r="H197" i="22" s="1"/>
  <c r="H198" i="22" s="1"/>
  <c r="H199" i="22" s="1"/>
  <c r="H200" i="22" s="1"/>
  <c r="H201" i="22" s="1"/>
  <c r="H202" i="22" s="1"/>
  <c r="H203" i="22" s="1"/>
  <c r="H204" i="22" s="1"/>
  <c r="H205" i="22" s="1"/>
  <c r="H206" i="22" s="1"/>
  <c r="H207" i="22" s="1"/>
  <c r="H208" i="22" s="1"/>
  <c r="H209" i="22" s="1"/>
  <c r="H210" i="22" s="1"/>
  <c r="H211" i="22" s="1"/>
  <c r="H212" i="22" s="1"/>
  <c r="H213" i="22" s="1"/>
  <c r="H214" i="22" s="1"/>
  <c r="H215" i="22" s="1"/>
  <c r="H216" i="22" s="1"/>
  <c r="H217" i="22" s="1"/>
  <c r="H218" i="22" s="1"/>
  <c r="H219" i="22" s="1"/>
  <c r="H220" i="22" s="1"/>
  <c r="H221" i="22" s="1"/>
  <c r="H222" i="22" s="1"/>
  <c r="H223" i="22" s="1"/>
  <c r="H224" i="22" s="1"/>
  <c r="H225" i="22" s="1"/>
  <c r="H226" i="22" s="1"/>
  <c r="H227" i="22" s="1"/>
  <c r="H228" i="22" s="1"/>
  <c r="H229" i="22" s="1"/>
  <c r="H230" i="22" s="1"/>
  <c r="H231" i="22" s="1"/>
  <c r="H232" i="22" s="1"/>
  <c r="H233" i="22" s="1"/>
  <c r="H234" i="22" s="1"/>
  <c r="H235" i="22" s="1"/>
  <c r="H236" i="22" s="1"/>
  <c r="H237" i="22" s="1"/>
  <c r="H238" i="22" s="1"/>
  <c r="H239" i="22" s="1"/>
  <c r="H240" i="22" s="1"/>
  <c r="H241" i="22" s="1"/>
  <c r="H242" i="22" s="1"/>
  <c r="H243" i="22" s="1"/>
  <c r="H244" i="22" s="1"/>
  <c r="H245" i="22" s="1"/>
  <c r="H246" i="22" s="1"/>
  <c r="H247" i="22" s="1"/>
  <c r="H248" i="22" s="1"/>
  <c r="H249" i="22" s="1"/>
  <c r="H250" i="22" s="1"/>
  <c r="H251" i="22" s="1"/>
  <c r="H252" i="22" s="1"/>
  <c r="H253" i="22" s="1"/>
  <c r="H254" i="22" s="1"/>
  <c r="E261" i="20"/>
  <c r="E260" i="20"/>
  <c r="E259" i="20"/>
  <c r="E258" i="20"/>
  <c r="E257" i="20"/>
  <c r="E256" i="20"/>
  <c r="E255" i="20"/>
  <c r="E254" i="20"/>
  <c r="E253" i="20"/>
  <c r="E252" i="20"/>
  <c r="E251" i="20"/>
  <c r="E250" i="20"/>
  <c r="E249" i="20"/>
  <c r="E248" i="20"/>
  <c r="E247" i="20"/>
  <c r="E246" i="20"/>
  <c r="E245" i="20"/>
  <c r="E244" i="20"/>
  <c r="E243" i="20"/>
  <c r="E242" i="20"/>
  <c r="E241" i="20"/>
  <c r="E240" i="20"/>
  <c r="E239" i="20"/>
  <c r="E238" i="20"/>
  <c r="E237" i="20"/>
  <c r="E236" i="20"/>
  <c r="E235" i="20"/>
  <c r="E234" i="20"/>
  <c r="E233" i="20"/>
  <c r="E114" i="20"/>
  <c r="E113" i="20"/>
  <c r="E112" i="20"/>
  <c r="E111" i="20"/>
  <c r="E110" i="20"/>
  <c r="E109" i="20"/>
  <c r="E108" i="20"/>
  <c r="E107" i="20"/>
  <c r="E106" i="20"/>
  <c r="E105" i="20"/>
  <c r="E104" i="20"/>
  <c r="E103" i="20"/>
  <c r="E102" i="20"/>
  <c r="E101" i="20"/>
  <c r="E100" i="20"/>
  <c r="E99" i="20"/>
  <c r="E98" i="20"/>
  <c r="E97" i="20"/>
  <c r="E96" i="20"/>
  <c r="E95" i="20"/>
  <c r="E94" i="20"/>
  <c r="E93" i="20"/>
  <c r="E92" i="20"/>
  <c r="E91" i="20"/>
  <c r="E90" i="20"/>
  <c r="E89" i="20"/>
  <c r="E88" i="20"/>
  <c r="E87" i="20"/>
  <c r="E86" i="20"/>
  <c r="E85" i="20"/>
  <c r="E84" i="20"/>
  <c r="E83" i="20"/>
  <c r="E82" i="20"/>
  <c r="E81" i="20"/>
  <c r="E80" i="20"/>
  <c r="E79" i="20"/>
  <c r="E78" i="20"/>
  <c r="E77" i="20"/>
  <c r="E76" i="20"/>
  <c r="E75" i="20"/>
  <c r="E74" i="20"/>
  <c r="E73" i="20"/>
  <c r="E72" i="20"/>
  <c r="E71" i="20"/>
  <c r="E70" i="20"/>
  <c r="E69" i="20"/>
  <c r="E68" i="20"/>
  <c r="E67" i="20"/>
  <c r="E66" i="20"/>
  <c r="E65" i="20"/>
  <c r="E64" i="20"/>
  <c r="E63" i="20"/>
  <c r="E62" i="20"/>
  <c r="E61" i="20"/>
  <c r="E60" i="20"/>
  <c r="E59" i="20"/>
  <c r="E58" i="20"/>
  <c r="E57" i="20"/>
  <c r="E56" i="20"/>
  <c r="E55" i="20"/>
  <c r="E54" i="20"/>
  <c r="E53" i="20"/>
  <c r="E52" i="20"/>
  <c r="E51" i="20"/>
  <c r="E50" i="20"/>
  <c r="E49" i="20"/>
  <c r="H13" i="21"/>
  <c r="H14" i="21" s="1"/>
  <c r="H15" i="21" s="1"/>
  <c r="H16" i="21" s="1"/>
  <c r="H17" i="21" s="1"/>
  <c r="H18" i="21" s="1"/>
  <c r="H19" i="21" s="1"/>
  <c r="H20" i="21" s="1"/>
  <c r="H21" i="21" s="1"/>
  <c r="E257" i="19"/>
  <c r="E256" i="19"/>
  <c r="E255" i="19"/>
  <c r="E254" i="19"/>
  <c r="E253" i="19"/>
  <c r="E252" i="19"/>
  <c r="E251" i="19"/>
  <c r="E250" i="19"/>
  <c r="E249" i="19"/>
  <c r="E248" i="19"/>
  <c r="E247" i="19"/>
  <c r="E246" i="19"/>
  <c r="E245" i="19"/>
  <c r="E244" i="19"/>
  <c r="E243" i="19"/>
  <c r="E242" i="19"/>
  <c r="E241" i="19"/>
  <c r="E240" i="19"/>
  <c r="E239" i="19"/>
  <c r="E238" i="19"/>
  <c r="E237" i="19"/>
  <c r="E236" i="19"/>
  <c r="E235" i="19"/>
  <c r="E234" i="19"/>
  <c r="E233" i="19"/>
  <c r="E232" i="19"/>
  <c r="E231" i="19"/>
  <c r="E230" i="19"/>
  <c r="E229" i="19"/>
  <c r="E228" i="19"/>
  <c r="E227" i="19"/>
  <c r="E226" i="19"/>
  <c r="E225" i="19"/>
  <c r="E224" i="19"/>
  <c r="E223" i="19"/>
  <c r="E222" i="19"/>
  <c r="E221" i="19"/>
  <c r="E220" i="19"/>
  <c r="E219" i="19"/>
  <c r="E218" i="19"/>
  <c r="E217" i="19"/>
  <c r="E216" i="19"/>
  <c r="E215" i="19"/>
  <c r="E214" i="19"/>
  <c r="E213" i="19"/>
  <c r="E212" i="19"/>
  <c r="E211" i="19"/>
  <c r="E210" i="19"/>
  <c r="E209" i="19"/>
  <c r="E208" i="19"/>
  <c r="E207" i="19"/>
  <c r="E206" i="19"/>
  <c r="E205" i="19"/>
  <c r="E204" i="19"/>
  <c r="E203" i="19"/>
  <c r="E202" i="19"/>
  <c r="E201" i="19"/>
  <c r="E200" i="19"/>
  <c r="E199" i="19"/>
  <c r="E198" i="19"/>
  <c r="E197" i="19"/>
  <c r="E196" i="19"/>
  <c r="E195" i="19"/>
  <c r="E194" i="19"/>
  <c r="E193" i="19"/>
  <c r="E192" i="19"/>
  <c r="E191" i="19"/>
  <c r="E190" i="19"/>
  <c r="E189" i="19"/>
  <c r="E188" i="19"/>
  <c r="E187" i="19"/>
  <c r="E186" i="19"/>
  <c r="E185" i="19"/>
  <c r="E184" i="19"/>
  <c r="E183" i="19"/>
  <c r="E182" i="19"/>
  <c r="E181" i="19"/>
  <c r="E180" i="19"/>
  <c r="E179" i="19"/>
  <c r="E178" i="19"/>
  <c r="E177" i="19"/>
  <c r="E176" i="19"/>
  <c r="E175" i="19"/>
  <c r="E174" i="19"/>
  <c r="E173" i="19"/>
  <c r="E172" i="19"/>
  <c r="E171" i="19"/>
  <c r="E170" i="19"/>
  <c r="E169" i="19"/>
  <c r="E168" i="19"/>
  <c r="E167" i="19"/>
  <c r="E166" i="19"/>
  <c r="E165" i="19"/>
  <c r="E164" i="19"/>
  <c r="E163" i="19"/>
  <c r="E162" i="19"/>
  <c r="E161" i="19"/>
  <c r="E160" i="19"/>
  <c r="E159" i="19"/>
  <c r="E158" i="19"/>
  <c r="E157" i="19"/>
  <c r="E156" i="19"/>
  <c r="E155" i="19"/>
  <c r="E154" i="19"/>
  <c r="E153" i="19"/>
  <c r="E152" i="19"/>
  <c r="E151" i="19"/>
  <c r="E150" i="19"/>
  <c r="E149" i="19"/>
  <c r="E148" i="19"/>
  <c r="E147" i="19"/>
  <c r="E146" i="19"/>
  <c r="E145" i="19"/>
  <c r="E144" i="19"/>
  <c r="E143" i="19"/>
  <c r="E142" i="19"/>
  <c r="E141" i="19"/>
  <c r="E140" i="19"/>
  <c r="E139" i="19"/>
  <c r="E138" i="19"/>
  <c r="E137" i="19"/>
  <c r="E136" i="19"/>
  <c r="E135" i="19"/>
  <c r="E134" i="19"/>
  <c r="E133" i="19"/>
  <c r="E132" i="19"/>
  <c r="E131" i="19"/>
  <c r="E130" i="19"/>
  <c r="E129" i="19"/>
  <c r="E128" i="19"/>
  <c r="E127" i="19"/>
  <c r="E126" i="19"/>
  <c r="E125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111" i="19"/>
  <c r="E110" i="19"/>
  <c r="E109" i="19"/>
  <c r="E108" i="19"/>
  <c r="E107" i="19"/>
  <c r="E106" i="19"/>
  <c r="E105" i="19"/>
  <c r="E104" i="19"/>
  <c r="E103" i="19"/>
  <c r="E102" i="19"/>
  <c r="E101" i="19"/>
  <c r="E100" i="19"/>
  <c r="E99" i="19"/>
  <c r="E98" i="19"/>
  <c r="E97" i="19"/>
  <c r="E96" i="19"/>
  <c r="E95" i="19"/>
  <c r="E94" i="19"/>
  <c r="E93" i="19"/>
  <c r="E92" i="19"/>
  <c r="E91" i="19"/>
  <c r="E90" i="19"/>
  <c r="E89" i="19"/>
  <c r="E88" i="19"/>
  <c r="E87" i="19"/>
  <c r="E86" i="19"/>
  <c r="E85" i="19"/>
  <c r="E84" i="19"/>
  <c r="E83" i="19"/>
  <c r="E82" i="19"/>
  <c r="E81" i="19"/>
  <c r="E80" i="19"/>
  <c r="E79" i="19"/>
  <c r="E78" i="19"/>
  <c r="E77" i="19"/>
  <c r="E76" i="19"/>
  <c r="E75" i="19"/>
  <c r="E74" i="19"/>
  <c r="E73" i="19"/>
  <c r="E72" i="19"/>
  <c r="E71" i="19"/>
  <c r="E70" i="19"/>
  <c r="E69" i="19"/>
  <c r="E68" i="19"/>
  <c r="E67" i="19"/>
  <c r="E66" i="19"/>
  <c r="E65" i="19"/>
  <c r="E63" i="19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48" i="19"/>
  <c r="E47" i="19"/>
  <c r="E45" i="19"/>
  <c r="E43" i="19"/>
  <c r="E42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0" i="19"/>
  <c r="E18" i="19"/>
  <c r="E17" i="19"/>
  <c r="E16" i="19"/>
  <c r="E15" i="19"/>
  <c r="E14" i="19"/>
  <c r="E13" i="19"/>
  <c r="H13" i="19"/>
  <c r="H14" i="19" s="1"/>
  <c r="H15" i="19" s="1"/>
  <c r="H16" i="19" s="1"/>
  <c r="H17" i="19" s="1"/>
  <c r="H18" i="19" s="1"/>
  <c r="H19" i="19" s="1"/>
  <c r="H20" i="19" s="1"/>
  <c r="H21" i="19" s="1"/>
  <c r="H22" i="19" s="1"/>
  <c r="H23" i="19" s="1"/>
  <c r="H24" i="19" s="1"/>
  <c r="H25" i="19" s="1"/>
  <c r="H26" i="19" s="1"/>
  <c r="H27" i="19" s="1"/>
  <c r="H28" i="19" s="1"/>
  <c r="H29" i="19" s="1"/>
  <c r="H30" i="19" s="1"/>
  <c r="H31" i="19" s="1"/>
  <c r="H32" i="19" s="1"/>
  <c r="H33" i="19" s="1"/>
  <c r="H34" i="19" s="1"/>
  <c r="H35" i="19" s="1"/>
  <c r="H36" i="19" s="1"/>
  <c r="H37" i="19" s="1"/>
  <c r="H38" i="19" s="1"/>
  <c r="H39" i="19" s="1"/>
  <c r="H40" i="19" s="1"/>
  <c r="H41" i="19" s="1"/>
  <c r="H42" i="19" s="1"/>
  <c r="H43" i="19" s="1"/>
  <c r="H44" i="19" s="1"/>
  <c r="H45" i="19" s="1"/>
  <c r="H46" i="19" s="1"/>
  <c r="H47" i="19" s="1"/>
  <c r="H48" i="19" s="1"/>
  <c r="H49" i="19" s="1"/>
  <c r="H50" i="19" s="1"/>
  <c r="H51" i="19" s="1"/>
  <c r="H52" i="19" s="1"/>
  <c r="H53" i="19" s="1"/>
  <c r="H54" i="19" s="1"/>
  <c r="H55" i="19" s="1"/>
  <c r="H56" i="19" s="1"/>
  <c r="H57" i="19" s="1"/>
  <c r="H58" i="19" s="1"/>
  <c r="H59" i="19" s="1"/>
  <c r="H60" i="19" s="1"/>
  <c r="H61" i="19" s="1"/>
  <c r="H62" i="19" s="1"/>
  <c r="H63" i="19" s="1"/>
  <c r="H64" i="19" s="1"/>
  <c r="H65" i="19" s="1"/>
  <c r="H66" i="19" s="1"/>
  <c r="H67" i="19" s="1"/>
  <c r="H68" i="19" s="1"/>
  <c r="H69" i="19" s="1"/>
  <c r="H70" i="19" s="1"/>
  <c r="H71" i="19" s="1"/>
  <c r="H72" i="19" s="1"/>
  <c r="H73" i="19" s="1"/>
  <c r="H74" i="19" s="1"/>
  <c r="H75" i="19" s="1"/>
  <c r="H76" i="19" s="1"/>
  <c r="H77" i="19" s="1"/>
  <c r="H78" i="19" s="1"/>
  <c r="H79" i="19" s="1"/>
  <c r="H80" i="19" s="1"/>
  <c r="H81" i="19" s="1"/>
  <c r="H82" i="19" s="1"/>
  <c r="H83" i="19" s="1"/>
  <c r="H84" i="19" s="1"/>
  <c r="H85" i="19" s="1"/>
  <c r="H86" i="19" s="1"/>
  <c r="H87" i="19" s="1"/>
  <c r="H88" i="19" s="1"/>
  <c r="H89" i="19" s="1"/>
  <c r="H90" i="19" s="1"/>
  <c r="H91" i="19" s="1"/>
  <c r="H92" i="19" s="1"/>
  <c r="H93" i="19" s="1"/>
  <c r="H94" i="19" s="1"/>
  <c r="H95" i="19" s="1"/>
  <c r="H96" i="19" s="1"/>
  <c r="H97" i="19" s="1"/>
  <c r="H98" i="19" s="1"/>
  <c r="H99" i="19" s="1"/>
  <c r="H100" i="19" s="1"/>
  <c r="H101" i="19" s="1"/>
  <c r="H102" i="19" s="1"/>
  <c r="H103" i="19" s="1"/>
  <c r="H104" i="19" s="1"/>
  <c r="H105" i="19" s="1"/>
  <c r="H106" i="19" s="1"/>
  <c r="H107" i="19" s="1"/>
  <c r="H108" i="19" s="1"/>
  <c r="H109" i="19" s="1"/>
  <c r="H110" i="19" s="1"/>
  <c r="H111" i="19" s="1"/>
  <c r="H112" i="19" s="1"/>
  <c r="H113" i="19" s="1"/>
  <c r="H114" i="19" s="1"/>
  <c r="H115" i="19" s="1"/>
  <c r="H116" i="19" s="1"/>
  <c r="H117" i="19" s="1"/>
  <c r="H118" i="19" s="1"/>
  <c r="H119" i="19" s="1"/>
  <c r="H120" i="19" s="1"/>
  <c r="H121" i="19" s="1"/>
  <c r="H122" i="19" s="1"/>
  <c r="H123" i="19" s="1"/>
  <c r="H124" i="19" s="1"/>
  <c r="H125" i="19" s="1"/>
  <c r="H126" i="19" s="1"/>
  <c r="H127" i="19" s="1"/>
  <c r="H128" i="19" s="1"/>
  <c r="H129" i="19" s="1"/>
  <c r="H130" i="19" s="1"/>
  <c r="H131" i="19" s="1"/>
  <c r="H132" i="19" s="1"/>
  <c r="H133" i="19" s="1"/>
  <c r="H134" i="19" s="1"/>
  <c r="H135" i="19" s="1"/>
  <c r="H136" i="19" s="1"/>
  <c r="H137" i="19" s="1"/>
  <c r="H138" i="19" s="1"/>
  <c r="H139" i="19" s="1"/>
  <c r="H140" i="19" s="1"/>
  <c r="H141" i="19" s="1"/>
  <c r="H142" i="19" s="1"/>
  <c r="H143" i="19" s="1"/>
  <c r="H144" i="19" s="1"/>
  <c r="H145" i="19" s="1"/>
  <c r="H146" i="19" s="1"/>
  <c r="H147" i="19" s="1"/>
  <c r="H148" i="19" s="1"/>
  <c r="H149" i="19" s="1"/>
  <c r="H150" i="19" s="1"/>
  <c r="H151" i="19" s="1"/>
  <c r="H152" i="19" s="1"/>
  <c r="H153" i="19" s="1"/>
  <c r="H154" i="19" s="1"/>
  <c r="H155" i="19" s="1"/>
  <c r="H156" i="19" s="1"/>
  <c r="H157" i="19" s="1"/>
  <c r="H158" i="19" s="1"/>
  <c r="H159" i="19" s="1"/>
  <c r="H160" i="19" s="1"/>
  <c r="H161" i="19" s="1"/>
  <c r="H162" i="19" s="1"/>
  <c r="H163" i="19" s="1"/>
  <c r="H164" i="19" s="1"/>
  <c r="H165" i="19" s="1"/>
  <c r="H166" i="19" s="1"/>
  <c r="H167" i="19" s="1"/>
  <c r="H168" i="19" s="1"/>
  <c r="H169" i="19" s="1"/>
  <c r="H170" i="19" s="1"/>
  <c r="H171" i="19" s="1"/>
  <c r="H172" i="19" s="1"/>
  <c r="H173" i="19" s="1"/>
  <c r="H174" i="19" s="1"/>
  <c r="H175" i="19" s="1"/>
  <c r="H176" i="19" s="1"/>
  <c r="H177" i="19" s="1"/>
  <c r="H178" i="19" s="1"/>
  <c r="H179" i="19" s="1"/>
  <c r="H180" i="19" s="1"/>
  <c r="H181" i="19" s="1"/>
  <c r="H182" i="19" s="1"/>
  <c r="H183" i="19" s="1"/>
  <c r="H184" i="19" s="1"/>
  <c r="H185" i="19" s="1"/>
  <c r="H186" i="19" s="1"/>
  <c r="H187" i="19" s="1"/>
  <c r="H188" i="19" s="1"/>
  <c r="H189" i="19" s="1"/>
  <c r="H190" i="19" s="1"/>
  <c r="H191" i="19" s="1"/>
  <c r="H192" i="19" s="1"/>
  <c r="H193" i="19" s="1"/>
  <c r="H194" i="19" s="1"/>
  <c r="H195" i="19" s="1"/>
  <c r="H196" i="19" s="1"/>
  <c r="H197" i="19" s="1"/>
  <c r="H198" i="19" s="1"/>
  <c r="H199" i="19" s="1"/>
  <c r="H200" i="19" s="1"/>
  <c r="H201" i="19" s="1"/>
  <c r="H202" i="19" s="1"/>
  <c r="H203" i="19" s="1"/>
  <c r="H204" i="19" s="1"/>
  <c r="H205" i="19" s="1"/>
  <c r="H206" i="19" s="1"/>
  <c r="H207" i="19" s="1"/>
  <c r="H208" i="19" s="1"/>
  <c r="H209" i="19" s="1"/>
  <c r="H210" i="19" s="1"/>
  <c r="H211" i="19" s="1"/>
  <c r="H212" i="19" s="1"/>
  <c r="H213" i="19" s="1"/>
  <c r="H214" i="19" s="1"/>
  <c r="H215" i="19" s="1"/>
  <c r="H216" i="19" s="1"/>
  <c r="H217" i="19" s="1"/>
  <c r="H218" i="19" s="1"/>
  <c r="H219" i="19" s="1"/>
  <c r="H220" i="19" s="1"/>
  <c r="H221" i="19" s="1"/>
  <c r="H222" i="19" s="1"/>
  <c r="H223" i="19" s="1"/>
  <c r="H224" i="19" s="1"/>
  <c r="H225" i="19" s="1"/>
  <c r="H226" i="19" s="1"/>
  <c r="H227" i="19" s="1"/>
  <c r="H228" i="19" s="1"/>
  <c r="H229" i="19" s="1"/>
  <c r="H230" i="19" s="1"/>
  <c r="H231" i="19" s="1"/>
  <c r="H232" i="19" s="1"/>
  <c r="H233" i="19" s="1"/>
  <c r="H234" i="19" s="1"/>
  <c r="H235" i="19" s="1"/>
  <c r="H236" i="19" s="1"/>
  <c r="H237" i="19" s="1"/>
  <c r="H238" i="19" s="1"/>
  <c r="H239" i="19" s="1"/>
  <c r="H240" i="19" s="1"/>
  <c r="H241" i="19" s="1"/>
  <c r="H242" i="19" s="1"/>
  <c r="H243" i="19" s="1"/>
  <c r="H244" i="19" s="1"/>
  <c r="H245" i="19" s="1"/>
  <c r="H246" i="19" s="1"/>
  <c r="H247" i="19" s="1"/>
  <c r="H248" i="19" s="1"/>
  <c r="H249" i="19" s="1"/>
  <c r="H250" i="19" s="1"/>
  <c r="H251" i="19" s="1"/>
  <c r="H252" i="19" s="1"/>
  <c r="H253" i="19" s="1"/>
  <c r="H254" i="19" s="1"/>
  <c r="H255" i="19" s="1"/>
  <c r="H256" i="19" s="1"/>
  <c r="H257" i="19" s="1"/>
  <c r="E254" i="18"/>
  <c r="E253" i="18"/>
  <c r="E252" i="18"/>
  <c r="E251" i="18"/>
  <c r="E250" i="18"/>
  <c r="E249" i="18"/>
  <c r="E248" i="18"/>
  <c r="E247" i="18"/>
  <c r="E246" i="18"/>
  <c r="E245" i="18"/>
  <c r="E244" i="18"/>
  <c r="E243" i="18"/>
  <c r="E242" i="18"/>
  <c r="E241" i="18"/>
  <c r="E240" i="18"/>
  <c r="E239" i="18"/>
  <c r="E238" i="18"/>
  <c r="E237" i="18"/>
  <c r="E236" i="18"/>
  <c r="E235" i="18"/>
  <c r="E234" i="18"/>
  <c r="E233" i="18"/>
  <c r="E232" i="18"/>
  <c r="E231" i="18"/>
  <c r="E230" i="18"/>
  <c r="E229" i="18"/>
  <c r="E228" i="18"/>
  <c r="E227" i="18"/>
  <c r="E226" i="18"/>
  <c r="E225" i="18"/>
  <c r="E224" i="18"/>
  <c r="E223" i="18"/>
  <c r="E222" i="18"/>
  <c r="E221" i="18"/>
  <c r="E220" i="18"/>
  <c r="E219" i="18"/>
  <c r="E218" i="18"/>
  <c r="E217" i="18"/>
  <c r="E216" i="18"/>
  <c r="E215" i="18"/>
  <c r="E214" i="18"/>
  <c r="E213" i="18"/>
  <c r="E212" i="18"/>
  <c r="E211" i="18"/>
  <c r="E210" i="18"/>
  <c r="E209" i="18"/>
  <c r="E208" i="18"/>
  <c r="E207" i="18"/>
  <c r="E206" i="18"/>
  <c r="E205" i="18"/>
  <c r="E204" i="18"/>
  <c r="E203" i="18"/>
  <c r="E202" i="18"/>
  <c r="E201" i="18"/>
  <c r="E200" i="18"/>
  <c r="E199" i="18"/>
  <c r="E198" i="18"/>
  <c r="E197" i="18"/>
  <c r="E196" i="18"/>
  <c r="E195" i="18"/>
  <c r="E194" i="18"/>
  <c r="E193" i="18"/>
  <c r="E192" i="18"/>
  <c r="E191" i="18"/>
  <c r="E190" i="18"/>
  <c r="E189" i="18"/>
  <c r="E188" i="18"/>
  <c r="E187" i="18"/>
  <c r="E186" i="18"/>
  <c r="E185" i="18"/>
  <c r="E184" i="18"/>
  <c r="E183" i="18"/>
  <c r="E182" i="18"/>
  <c r="E181" i="18"/>
  <c r="E180" i="18"/>
  <c r="E179" i="18"/>
  <c r="E178" i="18"/>
  <c r="E177" i="18"/>
  <c r="E176" i="18"/>
  <c r="E175" i="18"/>
  <c r="E174" i="18"/>
  <c r="E173" i="18"/>
  <c r="E172" i="18"/>
  <c r="E171" i="18"/>
  <c r="E170" i="18"/>
  <c r="E169" i="18"/>
  <c r="E168" i="18"/>
  <c r="E167" i="18"/>
  <c r="E166" i="18"/>
  <c r="E165" i="18"/>
  <c r="E164" i="18"/>
  <c r="E163" i="18"/>
  <c r="E162" i="18"/>
  <c r="E161" i="18"/>
  <c r="E160" i="18"/>
  <c r="E159" i="18"/>
  <c r="E158" i="18"/>
  <c r="E157" i="18"/>
  <c r="E156" i="18"/>
  <c r="E155" i="18"/>
  <c r="E154" i="18"/>
  <c r="E153" i="18"/>
  <c r="E152" i="18"/>
  <c r="E151" i="18"/>
  <c r="E150" i="18"/>
  <c r="E149" i="18"/>
  <c r="E148" i="18"/>
  <c r="E147" i="18"/>
  <c r="E146" i="18"/>
  <c r="E145" i="18"/>
  <c r="E144" i="18"/>
  <c r="E143" i="18"/>
  <c r="E142" i="18"/>
  <c r="E141" i="18"/>
  <c r="E140" i="18"/>
  <c r="E139" i="18"/>
  <c r="E138" i="18"/>
  <c r="E137" i="18"/>
  <c r="E136" i="18"/>
  <c r="E135" i="18"/>
  <c r="E134" i="18"/>
  <c r="E133" i="18"/>
  <c r="E132" i="18"/>
  <c r="E131" i="18"/>
  <c r="E130" i="18"/>
  <c r="E129" i="18"/>
  <c r="E128" i="18"/>
  <c r="E127" i="18"/>
  <c r="E126" i="18"/>
  <c r="E125" i="18"/>
  <c r="E124" i="18"/>
  <c r="E123" i="18"/>
  <c r="E122" i="18"/>
  <c r="E121" i="18"/>
  <c r="E120" i="18"/>
  <c r="E119" i="18"/>
  <c r="E118" i="18"/>
  <c r="E117" i="18"/>
  <c r="E116" i="18"/>
  <c r="E115" i="18"/>
  <c r="E114" i="18"/>
  <c r="E113" i="18"/>
  <c r="E112" i="18"/>
  <c r="E111" i="18"/>
  <c r="E110" i="18"/>
  <c r="E109" i="18"/>
  <c r="E108" i="18"/>
  <c r="E107" i="18"/>
  <c r="E106" i="18"/>
  <c r="E105" i="18"/>
  <c r="E104" i="18"/>
  <c r="E103" i="18"/>
  <c r="E102" i="18"/>
  <c r="E101" i="18"/>
  <c r="E100" i="18"/>
  <c r="E99" i="18"/>
  <c r="E98" i="18"/>
  <c r="E97" i="18"/>
  <c r="E96" i="18"/>
  <c r="E95" i="18"/>
  <c r="E94" i="18"/>
  <c r="E93" i="18"/>
  <c r="E92" i="18"/>
  <c r="E91" i="18"/>
  <c r="E90" i="18"/>
  <c r="E89" i="18"/>
  <c r="E88" i="18"/>
  <c r="E87" i="18"/>
  <c r="E86" i="18"/>
  <c r="E85" i="18"/>
  <c r="E84" i="18"/>
  <c r="E83" i="18"/>
  <c r="E82" i="18"/>
  <c r="E81" i="18"/>
  <c r="E80" i="18"/>
  <c r="E79" i="18"/>
  <c r="E78" i="18"/>
  <c r="E77" i="18"/>
  <c r="E76" i="18"/>
  <c r="E75" i="18"/>
  <c r="E74" i="18"/>
  <c r="E73" i="18"/>
  <c r="E72" i="18"/>
  <c r="E71" i="18"/>
  <c r="E70" i="18"/>
  <c r="E69" i="18"/>
  <c r="E68" i="18"/>
  <c r="E67" i="18"/>
  <c r="E66" i="18"/>
  <c r="E65" i="18"/>
  <c r="E64" i="18"/>
  <c r="E63" i="18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3" i="18"/>
  <c r="E42" i="18"/>
  <c r="E41" i="18"/>
  <c r="E40" i="18"/>
  <c r="E39" i="18"/>
  <c r="E38" i="18"/>
  <c r="E37" i="18"/>
  <c r="E36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H13" i="18"/>
  <c r="H14" i="18" s="1"/>
  <c r="H15" i="18" s="1"/>
  <c r="H16" i="18" s="1"/>
  <c r="H17" i="18" s="1"/>
  <c r="H18" i="18" s="1"/>
  <c r="H19" i="18" s="1"/>
  <c r="H20" i="18" s="1"/>
  <c r="H21" i="18" s="1"/>
  <c r="H22" i="18" s="1"/>
  <c r="H23" i="18" s="1"/>
  <c r="H24" i="18" s="1"/>
  <c r="H25" i="18" s="1"/>
  <c r="H26" i="18" s="1"/>
  <c r="H27" i="18" s="1"/>
  <c r="H28" i="18" s="1"/>
  <c r="H29" i="18" s="1"/>
  <c r="H30" i="18" s="1"/>
  <c r="H31" i="18" s="1"/>
  <c r="H32" i="18" s="1"/>
  <c r="H33" i="18" s="1"/>
  <c r="H34" i="18" s="1"/>
  <c r="H35" i="18" s="1"/>
  <c r="H36" i="18" s="1"/>
  <c r="H37" i="18" s="1"/>
  <c r="H38" i="18" s="1"/>
  <c r="H39" i="18" s="1"/>
  <c r="H40" i="18" s="1"/>
  <c r="H41" i="18" s="1"/>
  <c r="H42" i="18" s="1"/>
  <c r="H43" i="18" s="1"/>
  <c r="H44" i="18" s="1"/>
  <c r="H45" i="18" s="1"/>
  <c r="H46" i="18" s="1"/>
  <c r="H47" i="18" s="1"/>
  <c r="H48" i="18" s="1"/>
  <c r="H49" i="18" s="1"/>
  <c r="H50" i="18" s="1"/>
  <c r="H51" i="18" s="1"/>
  <c r="H52" i="18" s="1"/>
  <c r="H53" i="18" s="1"/>
  <c r="H54" i="18" s="1"/>
  <c r="H55" i="18" s="1"/>
  <c r="H56" i="18" s="1"/>
  <c r="H57" i="18" s="1"/>
  <c r="H58" i="18" s="1"/>
  <c r="H59" i="18" s="1"/>
  <c r="H60" i="18" s="1"/>
  <c r="H61" i="18" s="1"/>
  <c r="H62" i="18" s="1"/>
  <c r="H63" i="18" s="1"/>
  <c r="H64" i="18" s="1"/>
  <c r="H65" i="18" s="1"/>
  <c r="H66" i="18" s="1"/>
  <c r="H67" i="18" s="1"/>
  <c r="H68" i="18" s="1"/>
  <c r="H69" i="18" s="1"/>
  <c r="H70" i="18" s="1"/>
  <c r="H71" i="18" s="1"/>
  <c r="H72" i="18" s="1"/>
  <c r="H73" i="18" s="1"/>
  <c r="H74" i="18" s="1"/>
  <c r="H75" i="18" s="1"/>
  <c r="H76" i="18" s="1"/>
  <c r="H77" i="18" s="1"/>
  <c r="H78" i="18" s="1"/>
  <c r="H79" i="18" s="1"/>
  <c r="H80" i="18" s="1"/>
  <c r="H81" i="18" s="1"/>
  <c r="H82" i="18" s="1"/>
  <c r="H83" i="18" s="1"/>
  <c r="H84" i="18" s="1"/>
  <c r="H85" i="18" s="1"/>
  <c r="H86" i="18" s="1"/>
  <c r="H87" i="18" s="1"/>
  <c r="H88" i="18" s="1"/>
  <c r="H89" i="18" s="1"/>
  <c r="H90" i="18" s="1"/>
  <c r="H91" i="18" s="1"/>
  <c r="H92" i="18" s="1"/>
  <c r="H93" i="18" s="1"/>
  <c r="H94" i="18" s="1"/>
  <c r="H95" i="18" s="1"/>
  <c r="H96" i="18" s="1"/>
  <c r="H97" i="18" s="1"/>
  <c r="H98" i="18" s="1"/>
  <c r="H99" i="18" s="1"/>
  <c r="H100" i="18" s="1"/>
  <c r="H101" i="18" s="1"/>
  <c r="H102" i="18" s="1"/>
  <c r="H103" i="18" s="1"/>
  <c r="H104" i="18" s="1"/>
  <c r="H105" i="18" s="1"/>
  <c r="H106" i="18" s="1"/>
  <c r="H107" i="18" s="1"/>
  <c r="H108" i="18" s="1"/>
  <c r="H109" i="18" s="1"/>
  <c r="H110" i="18" s="1"/>
  <c r="H111" i="18" s="1"/>
  <c r="H112" i="18" s="1"/>
  <c r="H113" i="18" s="1"/>
  <c r="H114" i="18" s="1"/>
  <c r="H115" i="18" s="1"/>
  <c r="H116" i="18" s="1"/>
  <c r="H117" i="18" s="1"/>
  <c r="H118" i="18" s="1"/>
  <c r="H119" i="18" s="1"/>
  <c r="H120" i="18" s="1"/>
  <c r="H121" i="18" s="1"/>
  <c r="H122" i="18" s="1"/>
  <c r="H123" i="18" s="1"/>
  <c r="H124" i="18" s="1"/>
  <c r="H125" i="18" s="1"/>
  <c r="H126" i="18" s="1"/>
  <c r="H127" i="18" s="1"/>
  <c r="H128" i="18" s="1"/>
  <c r="H129" i="18" s="1"/>
  <c r="H130" i="18" s="1"/>
  <c r="H131" i="18" s="1"/>
  <c r="H132" i="18" s="1"/>
  <c r="H133" i="18" s="1"/>
  <c r="H134" i="18" s="1"/>
  <c r="H135" i="18" s="1"/>
  <c r="H136" i="18" s="1"/>
  <c r="H137" i="18" s="1"/>
  <c r="H138" i="18" s="1"/>
  <c r="H139" i="18" s="1"/>
  <c r="H140" i="18" s="1"/>
  <c r="H141" i="18" s="1"/>
  <c r="H142" i="18" s="1"/>
  <c r="H143" i="18" s="1"/>
  <c r="H144" i="18" s="1"/>
  <c r="H145" i="18" s="1"/>
  <c r="H146" i="18" s="1"/>
  <c r="H147" i="18" s="1"/>
  <c r="H148" i="18" s="1"/>
  <c r="H149" i="18" s="1"/>
  <c r="H150" i="18" s="1"/>
  <c r="H151" i="18" s="1"/>
  <c r="H152" i="18" s="1"/>
  <c r="H153" i="18" s="1"/>
  <c r="H154" i="18" s="1"/>
  <c r="H155" i="18" s="1"/>
  <c r="H156" i="18" s="1"/>
  <c r="H157" i="18" s="1"/>
  <c r="H158" i="18" s="1"/>
  <c r="H159" i="18" s="1"/>
  <c r="H160" i="18" s="1"/>
  <c r="H161" i="18" s="1"/>
  <c r="H162" i="18" s="1"/>
  <c r="H163" i="18" s="1"/>
  <c r="H164" i="18" s="1"/>
  <c r="H165" i="18" s="1"/>
  <c r="H166" i="18" s="1"/>
  <c r="H167" i="18" s="1"/>
  <c r="H168" i="18" s="1"/>
  <c r="H169" i="18" s="1"/>
  <c r="H170" i="18" s="1"/>
  <c r="H171" i="18" s="1"/>
  <c r="H172" i="18" s="1"/>
  <c r="H173" i="18" s="1"/>
  <c r="H174" i="18" s="1"/>
  <c r="H175" i="18" s="1"/>
  <c r="H176" i="18" s="1"/>
  <c r="H177" i="18" s="1"/>
  <c r="H178" i="18" s="1"/>
  <c r="H179" i="18" s="1"/>
  <c r="H180" i="18" s="1"/>
  <c r="H181" i="18" s="1"/>
  <c r="H182" i="18" s="1"/>
  <c r="H183" i="18" s="1"/>
  <c r="H184" i="18" s="1"/>
  <c r="H185" i="18" s="1"/>
  <c r="H186" i="18" s="1"/>
  <c r="H187" i="18" s="1"/>
  <c r="H188" i="18" s="1"/>
  <c r="H189" i="18" s="1"/>
  <c r="H190" i="18" s="1"/>
  <c r="H191" i="18" s="1"/>
  <c r="H192" i="18" s="1"/>
  <c r="H193" i="18" s="1"/>
  <c r="H194" i="18" s="1"/>
  <c r="H195" i="18" s="1"/>
  <c r="H196" i="18" s="1"/>
  <c r="H197" i="18" s="1"/>
  <c r="H198" i="18" s="1"/>
  <c r="H199" i="18" s="1"/>
  <c r="H200" i="18" s="1"/>
  <c r="H201" i="18" s="1"/>
  <c r="H202" i="18" s="1"/>
  <c r="H203" i="18" s="1"/>
  <c r="H204" i="18" s="1"/>
  <c r="H205" i="18" s="1"/>
  <c r="H206" i="18" s="1"/>
  <c r="H207" i="18" s="1"/>
  <c r="H208" i="18" s="1"/>
  <c r="H209" i="18" s="1"/>
  <c r="H210" i="18" s="1"/>
  <c r="H211" i="18" s="1"/>
  <c r="H212" i="18" s="1"/>
  <c r="H213" i="18" s="1"/>
  <c r="H214" i="18" s="1"/>
  <c r="H215" i="18" s="1"/>
  <c r="H216" i="18" s="1"/>
  <c r="H217" i="18" s="1"/>
  <c r="H218" i="18" s="1"/>
  <c r="H219" i="18" s="1"/>
  <c r="H220" i="18" s="1"/>
  <c r="H221" i="18" s="1"/>
  <c r="H222" i="18" s="1"/>
  <c r="H223" i="18" s="1"/>
  <c r="H224" i="18" s="1"/>
  <c r="H225" i="18" s="1"/>
  <c r="H226" i="18" s="1"/>
  <c r="H227" i="18" s="1"/>
  <c r="H228" i="18" s="1"/>
  <c r="H229" i="18" s="1"/>
  <c r="H230" i="18" s="1"/>
  <c r="H231" i="18" s="1"/>
  <c r="H232" i="18" s="1"/>
  <c r="H233" i="18" s="1"/>
  <c r="H234" i="18" s="1"/>
  <c r="H235" i="18" s="1"/>
  <c r="H236" i="18" s="1"/>
  <c r="H237" i="18" s="1"/>
  <c r="H238" i="18" s="1"/>
  <c r="H239" i="18" s="1"/>
  <c r="H240" i="18" s="1"/>
  <c r="H241" i="18" s="1"/>
  <c r="H242" i="18" s="1"/>
  <c r="H243" i="18" s="1"/>
  <c r="H244" i="18" s="1"/>
  <c r="H245" i="18" s="1"/>
  <c r="H246" i="18" s="1"/>
  <c r="H247" i="18" s="1"/>
  <c r="H248" i="18" s="1"/>
  <c r="H249" i="18" s="1"/>
  <c r="H250" i="18" s="1"/>
  <c r="H251" i="18" s="1"/>
  <c r="H252" i="18" s="1"/>
  <c r="H253" i="18" s="1"/>
  <c r="H254" i="18" s="1"/>
  <c r="E254" i="28"/>
  <c r="E253" i="28"/>
  <c r="E252" i="28"/>
  <c r="E251" i="28"/>
  <c r="E250" i="28"/>
  <c r="E249" i="28"/>
  <c r="E248" i="28"/>
  <c r="E247" i="28"/>
  <c r="E246" i="28"/>
  <c r="E245" i="28"/>
  <c r="E244" i="28"/>
  <c r="E243" i="28"/>
  <c r="E242" i="28"/>
  <c r="E241" i="28"/>
  <c r="E240" i="28"/>
  <c r="E239" i="28"/>
  <c r="E238" i="28"/>
  <c r="E237" i="28"/>
  <c r="E236" i="28"/>
  <c r="E235" i="28"/>
  <c r="E234" i="28"/>
  <c r="E233" i="28"/>
  <c r="E232" i="28"/>
  <c r="E231" i="28"/>
  <c r="E230" i="28"/>
  <c r="E229" i="28"/>
  <c r="E228" i="28"/>
  <c r="E227" i="28"/>
  <c r="E226" i="28"/>
  <c r="E225" i="28"/>
  <c r="E224" i="28"/>
  <c r="E223" i="28"/>
  <c r="E222" i="28"/>
  <c r="E221" i="28"/>
  <c r="E220" i="28"/>
  <c r="E219" i="28"/>
  <c r="E218" i="28"/>
  <c r="E217" i="28"/>
  <c r="E216" i="28"/>
  <c r="E215" i="28"/>
  <c r="E214" i="28"/>
  <c r="E213" i="28"/>
  <c r="E212" i="28"/>
  <c r="E211" i="28"/>
  <c r="E210" i="28"/>
  <c r="E209" i="28"/>
  <c r="E208" i="28"/>
  <c r="E207" i="28"/>
  <c r="E206" i="28"/>
  <c r="E205" i="28"/>
  <c r="E204" i="28"/>
  <c r="E203" i="28"/>
  <c r="E202" i="28"/>
  <c r="E201" i="28"/>
  <c r="E200" i="28"/>
  <c r="E199" i="28"/>
  <c r="E198" i="28"/>
  <c r="E197" i="28"/>
  <c r="E196" i="28"/>
  <c r="E195" i="28"/>
  <c r="E194" i="28"/>
  <c r="E193" i="28"/>
  <c r="E192" i="28"/>
  <c r="E191" i="28"/>
  <c r="E190" i="28"/>
  <c r="E189" i="28"/>
  <c r="E188" i="28"/>
  <c r="E187" i="28"/>
  <c r="E186" i="28"/>
  <c r="E185" i="28"/>
  <c r="E184" i="28"/>
  <c r="E183" i="28"/>
  <c r="E182" i="28"/>
  <c r="E181" i="28"/>
  <c r="E180" i="28"/>
  <c r="E179" i="28"/>
  <c r="E178" i="28"/>
  <c r="E177" i="28"/>
  <c r="E176" i="28"/>
  <c r="E175" i="28"/>
  <c r="E174" i="28"/>
  <c r="E173" i="28"/>
  <c r="E172" i="28"/>
  <c r="E171" i="28"/>
  <c r="E170" i="28"/>
  <c r="E169" i="28"/>
  <c r="E168" i="28"/>
  <c r="E167" i="28"/>
  <c r="E166" i="28"/>
  <c r="E165" i="28"/>
  <c r="E164" i="28"/>
  <c r="E163" i="28"/>
  <c r="E162" i="28"/>
  <c r="E161" i="28"/>
  <c r="E160" i="28"/>
  <c r="E159" i="28"/>
  <c r="E158" i="28"/>
  <c r="E157" i="28"/>
  <c r="E156" i="28"/>
  <c r="E155" i="28"/>
  <c r="E154" i="28"/>
  <c r="E153" i="28"/>
  <c r="E152" i="28"/>
  <c r="E151" i="28"/>
  <c r="E150" i="28"/>
  <c r="E149" i="28"/>
  <c r="E148" i="28"/>
  <c r="E147" i="28"/>
  <c r="E146" i="28"/>
  <c r="E145" i="28"/>
  <c r="E144" i="28"/>
  <c r="E143" i="28"/>
  <c r="E142" i="28"/>
  <c r="E141" i="28"/>
  <c r="E140" i="28"/>
  <c r="E139" i="28"/>
  <c r="E138" i="28"/>
  <c r="E137" i="28"/>
  <c r="E136" i="28"/>
  <c r="E135" i="28"/>
  <c r="E134" i="28"/>
  <c r="E133" i="28"/>
  <c r="E132" i="28"/>
  <c r="E131" i="28"/>
  <c r="E130" i="28"/>
  <c r="E129" i="28"/>
  <c r="E128" i="28"/>
  <c r="E127" i="28"/>
  <c r="E126" i="28"/>
  <c r="E125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111" i="28"/>
  <c r="E103" i="28"/>
  <c r="E102" i="28"/>
  <c r="E101" i="28"/>
  <c r="E100" i="28"/>
  <c r="E99" i="28"/>
  <c r="E98" i="28"/>
  <c r="E97" i="28"/>
  <c r="E96" i="28"/>
  <c r="E95" i="28"/>
  <c r="E94" i="28"/>
  <c r="E83" i="28"/>
  <c r="E82" i="28"/>
  <c r="E81" i="28"/>
  <c r="E80" i="28"/>
  <c r="E79" i="28"/>
  <c r="E78" i="28"/>
  <c r="E77" i="28"/>
  <c r="E76" i="28"/>
  <c r="E75" i="28"/>
  <c r="E74" i="28"/>
  <c r="E73" i="28"/>
  <c r="E72" i="28"/>
  <c r="E71" i="28"/>
  <c r="E70" i="28"/>
  <c r="E69" i="28"/>
  <c r="E68" i="28"/>
  <c r="E67" i="28"/>
  <c r="E66" i="28"/>
  <c r="E65" i="28"/>
  <c r="E64" i="28"/>
  <c r="E63" i="28"/>
  <c r="E62" i="28"/>
  <c r="E61" i="28"/>
  <c r="E60" i="28"/>
  <c r="E59" i="28"/>
  <c r="E14" i="3"/>
  <c r="H15" i="20" l="1"/>
  <c r="H16" i="20" s="1"/>
  <c r="H17" i="20" s="1"/>
  <c r="H18" i="20" s="1"/>
  <c r="H19" i="20" s="1"/>
  <c r="H20" i="20" s="1"/>
  <c r="H21" i="20" s="1"/>
  <c r="H22" i="20" s="1"/>
  <c r="H23" i="20" s="1"/>
  <c r="H24" i="20" s="1"/>
  <c r="H25" i="20" s="1"/>
  <c r="H26" i="20" s="1"/>
  <c r="H27" i="20" s="1"/>
  <c r="H28" i="20" s="1"/>
  <c r="H29" i="20" s="1"/>
  <c r="H30" i="20" s="1"/>
  <c r="H31" i="20" s="1"/>
  <c r="H32" i="20" s="1"/>
  <c r="H33" i="20" s="1"/>
  <c r="H34" i="20" s="1"/>
  <c r="H35" i="20" s="1"/>
  <c r="H36" i="20" s="1"/>
  <c r="H37" i="20" s="1"/>
  <c r="H38" i="20" s="1"/>
  <c r="H39" i="20" s="1"/>
  <c r="H40" i="20" s="1"/>
  <c r="H41" i="20" s="1"/>
  <c r="H42" i="20" s="1"/>
  <c r="H43" i="20" s="1"/>
  <c r="H44" i="20" s="1"/>
  <c r="H45" i="20" s="1"/>
  <c r="H46" i="20" s="1"/>
  <c r="H47" i="20" s="1"/>
  <c r="H48" i="20" s="1"/>
  <c r="H49" i="20" s="1"/>
  <c r="H50" i="20" s="1"/>
  <c r="H51" i="20" s="1"/>
  <c r="H52" i="20" s="1"/>
  <c r="H53" i="20" s="1"/>
  <c r="H54" i="20" s="1"/>
  <c r="H55" i="20" s="1"/>
  <c r="H56" i="20" s="1"/>
  <c r="H57" i="20" s="1"/>
  <c r="H58" i="20" s="1"/>
  <c r="H59" i="20" s="1"/>
  <c r="H60" i="20" s="1"/>
  <c r="H61" i="20" s="1"/>
  <c r="H62" i="20" s="1"/>
  <c r="H63" i="20" s="1"/>
  <c r="H64" i="20" s="1"/>
  <c r="H65" i="20" s="1"/>
  <c r="H66" i="20" s="1"/>
  <c r="H67" i="20" s="1"/>
  <c r="H68" i="20" s="1"/>
  <c r="H69" i="20" s="1"/>
  <c r="H70" i="20" s="1"/>
  <c r="H71" i="20" s="1"/>
  <c r="H72" i="20" s="1"/>
  <c r="H73" i="20" s="1"/>
  <c r="H74" i="20" s="1"/>
  <c r="H75" i="20" s="1"/>
  <c r="H76" i="20" s="1"/>
  <c r="H77" i="20" s="1"/>
  <c r="H78" i="20" s="1"/>
  <c r="H79" i="20" s="1"/>
  <c r="H80" i="20" s="1"/>
  <c r="H81" i="20" s="1"/>
  <c r="H82" i="20" s="1"/>
  <c r="H83" i="20" s="1"/>
  <c r="H84" i="20" s="1"/>
  <c r="H85" i="20" s="1"/>
  <c r="H86" i="20" s="1"/>
  <c r="H87" i="20" s="1"/>
  <c r="H88" i="20" s="1"/>
  <c r="H89" i="20" s="1"/>
  <c r="H90" i="20" s="1"/>
  <c r="H91" i="20" s="1"/>
  <c r="H92" i="20" s="1"/>
  <c r="H93" i="20" s="1"/>
  <c r="H94" i="20" s="1"/>
  <c r="H95" i="20" s="1"/>
  <c r="H96" i="20" s="1"/>
  <c r="H97" i="20" s="1"/>
  <c r="H98" i="20" s="1"/>
  <c r="H99" i="20" s="1"/>
  <c r="H100" i="20" s="1"/>
  <c r="H101" i="20" s="1"/>
  <c r="H102" i="20" s="1"/>
  <c r="H103" i="20" s="1"/>
  <c r="H104" i="20" s="1"/>
  <c r="H105" i="20" s="1"/>
  <c r="H106" i="20" s="1"/>
  <c r="H107" i="20" s="1"/>
  <c r="H108" i="20" s="1"/>
  <c r="H109" i="20" s="1"/>
  <c r="H110" i="20" s="1"/>
  <c r="H111" i="20" s="1"/>
  <c r="H112" i="20" s="1"/>
  <c r="H113" i="20" s="1"/>
  <c r="H22" i="21"/>
  <c r="H23" i="21" s="1"/>
  <c r="H24" i="21" s="1"/>
  <c r="H25" i="21" s="1"/>
  <c r="H26" i="21" s="1"/>
  <c r="H27" i="21" s="1"/>
  <c r="H28" i="21" s="1"/>
  <c r="H29" i="21" s="1"/>
  <c r="H30" i="21" s="1"/>
  <c r="H31" i="21" s="1"/>
  <c r="H32" i="21" s="1"/>
  <c r="H33" i="21" s="1"/>
  <c r="H34" i="21" s="1"/>
  <c r="H35" i="21" s="1"/>
  <c r="H36" i="21" s="1"/>
  <c r="H37" i="21" s="1"/>
  <c r="H38" i="21" s="1"/>
  <c r="H39" i="21" s="1"/>
  <c r="H40" i="21" s="1"/>
  <c r="H41" i="21" s="1"/>
  <c r="H42" i="21" s="1"/>
  <c r="H43" i="21" s="1"/>
  <c r="H44" i="21" s="1"/>
  <c r="H45" i="21" s="1"/>
  <c r="H46" i="21" s="1"/>
  <c r="H47" i="21" s="1"/>
  <c r="H48" i="21" s="1"/>
  <c r="H49" i="21" s="1"/>
  <c r="H50" i="21" s="1"/>
  <c r="H51" i="21" s="1"/>
  <c r="H52" i="21" s="1"/>
  <c r="H53" i="21" s="1"/>
  <c r="H54" i="21" s="1"/>
  <c r="H55" i="21" s="1"/>
  <c r="H56" i="21" s="1"/>
  <c r="H57" i="21" s="1"/>
  <c r="H58" i="21" s="1"/>
  <c r="H59" i="21" s="1"/>
  <c r="H60" i="21" s="1"/>
  <c r="H61" i="21" s="1"/>
  <c r="H62" i="21" s="1"/>
  <c r="H63" i="21" s="1"/>
  <c r="H64" i="21" s="1"/>
  <c r="H65" i="21" s="1"/>
  <c r="H66" i="21" s="1"/>
  <c r="H67" i="21" s="1"/>
  <c r="H68" i="21" s="1"/>
  <c r="H69" i="21" s="1"/>
  <c r="H70" i="21" s="1"/>
  <c r="H71" i="21" s="1"/>
  <c r="H72" i="21" s="1"/>
  <c r="H73" i="21" s="1"/>
  <c r="H74" i="21" s="1"/>
  <c r="H75" i="21" s="1"/>
  <c r="H76" i="21" s="1"/>
  <c r="H77" i="21" s="1"/>
  <c r="H78" i="21" s="1"/>
  <c r="H79" i="21" s="1"/>
  <c r="H80" i="21" s="1"/>
  <c r="H81" i="21" s="1"/>
  <c r="H82" i="21" s="1"/>
  <c r="H83" i="21" s="1"/>
  <c r="H84" i="21" s="1"/>
  <c r="H85" i="21" s="1"/>
  <c r="H86" i="21" s="1"/>
  <c r="H87" i="21" s="1"/>
  <c r="H88" i="21" s="1"/>
  <c r="H89" i="21" s="1"/>
  <c r="H90" i="21" s="1"/>
  <c r="H91" i="21" s="1"/>
  <c r="H92" i="21" s="1"/>
  <c r="H93" i="21" s="1"/>
  <c r="H94" i="21" s="1"/>
  <c r="H95" i="21" s="1"/>
  <c r="H96" i="21" s="1"/>
  <c r="H97" i="21" s="1"/>
  <c r="H98" i="21" s="1"/>
  <c r="H99" i="21" s="1"/>
  <c r="H100" i="21" s="1"/>
  <c r="H101" i="21" s="1"/>
  <c r="H102" i="21" s="1"/>
  <c r="H103" i="21" s="1"/>
  <c r="H104" i="21" s="1"/>
  <c r="H105" i="21" s="1"/>
  <c r="H106" i="21" s="1"/>
  <c r="H107" i="21" s="1"/>
  <c r="H108" i="21" s="1"/>
  <c r="H109" i="21" s="1"/>
  <c r="H110" i="21" s="1"/>
  <c r="H111" i="21" s="1"/>
  <c r="H112" i="21" s="1"/>
  <c r="H113" i="21" s="1"/>
  <c r="H114" i="21" s="1"/>
  <c r="H115" i="21" s="1"/>
  <c r="H116" i="21" s="1"/>
  <c r="H117" i="21" s="1"/>
  <c r="H118" i="21" s="1"/>
  <c r="H119" i="21" s="1"/>
  <c r="H120" i="21" s="1"/>
  <c r="H121" i="21" s="1"/>
  <c r="H122" i="21" s="1"/>
  <c r="H123" i="21" s="1"/>
  <c r="H124" i="21" s="1"/>
  <c r="H125" i="21" s="1"/>
  <c r="H126" i="21" s="1"/>
  <c r="H127" i="21" s="1"/>
  <c r="H128" i="21" s="1"/>
  <c r="H129" i="21" s="1"/>
  <c r="H130" i="21" s="1"/>
  <c r="H131" i="21" s="1"/>
  <c r="H132" i="21" s="1"/>
  <c r="H133" i="21" s="1"/>
  <c r="H134" i="21" s="1"/>
  <c r="H135" i="21" s="1"/>
  <c r="H136" i="21" s="1"/>
  <c r="H137" i="21" s="1"/>
  <c r="H138" i="21" s="1"/>
  <c r="H139" i="21" s="1"/>
  <c r="H140" i="21" s="1"/>
  <c r="H141" i="21" s="1"/>
  <c r="H142" i="21" s="1"/>
  <c r="H143" i="21" s="1"/>
  <c r="H144" i="21" s="1"/>
  <c r="H145" i="21" s="1"/>
  <c r="H146" i="21" s="1"/>
  <c r="H147" i="21" s="1"/>
  <c r="H148" i="21" s="1"/>
  <c r="H149" i="21" s="1"/>
  <c r="H150" i="21" s="1"/>
  <c r="H151" i="21" s="1"/>
  <c r="H152" i="21" s="1"/>
  <c r="H153" i="21" s="1"/>
  <c r="H154" i="21" s="1"/>
  <c r="H155" i="21" s="1"/>
  <c r="H156" i="21" s="1"/>
  <c r="H157" i="21" s="1"/>
  <c r="H158" i="21" s="1"/>
  <c r="H159" i="21" s="1"/>
  <c r="H160" i="21" s="1"/>
  <c r="H161" i="21" s="1"/>
  <c r="H162" i="21" s="1"/>
  <c r="H163" i="21" s="1"/>
  <c r="H164" i="21" s="1"/>
  <c r="H165" i="21" s="1"/>
  <c r="H166" i="21" s="1"/>
  <c r="H167" i="21" s="1"/>
  <c r="H168" i="21" s="1"/>
  <c r="H169" i="21" s="1"/>
  <c r="H170" i="21" s="1"/>
  <c r="H171" i="21" s="1"/>
  <c r="H172" i="21" s="1"/>
  <c r="H173" i="21" s="1"/>
  <c r="H174" i="21" s="1"/>
  <c r="H175" i="21" s="1"/>
  <c r="H176" i="21" s="1"/>
  <c r="H177" i="21" s="1"/>
  <c r="H178" i="21" s="1"/>
  <c r="H179" i="21" s="1"/>
  <c r="H180" i="21" s="1"/>
  <c r="H181" i="21" s="1"/>
  <c r="H182" i="21" s="1"/>
  <c r="H183" i="21" s="1"/>
  <c r="H184" i="21" s="1"/>
  <c r="H185" i="21" s="1"/>
  <c r="H186" i="21" s="1"/>
  <c r="H187" i="21" s="1"/>
  <c r="H188" i="21" s="1"/>
  <c r="H189" i="21" s="1"/>
  <c r="H190" i="21" s="1"/>
  <c r="H191" i="21" s="1"/>
  <c r="H192" i="21" s="1"/>
  <c r="H193" i="21" s="1"/>
  <c r="H194" i="21" s="1"/>
  <c r="H195" i="21" s="1"/>
  <c r="H196" i="21" s="1"/>
  <c r="H197" i="21" s="1"/>
  <c r="H198" i="21" s="1"/>
  <c r="H199" i="21" s="1"/>
  <c r="H200" i="21" s="1"/>
  <c r="H201" i="21" s="1"/>
  <c r="H202" i="21" s="1"/>
  <c r="H203" i="21" s="1"/>
  <c r="H204" i="21" s="1"/>
  <c r="H205" i="21" s="1"/>
  <c r="H206" i="21" s="1"/>
  <c r="H207" i="21" s="1"/>
  <c r="H208" i="21" s="1"/>
  <c r="H209" i="21" s="1"/>
  <c r="H210" i="21" s="1"/>
  <c r="H211" i="21" s="1"/>
  <c r="H212" i="21" s="1"/>
  <c r="H213" i="21" s="1"/>
  <c r="H214" i="21" s="1"/>
  <c r="H215" i="21" s="1"/>
  <c r="H216" i="21" s="1"/>
  <c r="H217" i="21" s="1"/>
  <c r="H218" i="21" s="1"/>
  <c r="H219" i="21" s="1"/>
  <c r="H220" i="21" s="1"/>
  <c r="H221" i="21" s="1"/>
  <c r="H222" i="21" s="1"/>
  <c r="H223" i="21" s="1"/>
  <c r="H224" i="21" s="1"/>
  <c r="H225" i="21" s="1"/>
  <c r="H226" i="21" s="1"/>
  <c r="H227" i="21" s="1"/>
  <c r="H228" i="21" s="1"/>
  <c r="H229" i="21" s="1"/>
  <c r="H230" i="21" s="1"/>
  <c r="H231" i="21" s="1"/>
  <c r="H232" i="21" s="1"/>
  <c r="H233" i="21" s="1"/>
  <c r="H234" i="21" s="1"/>
  <c r="H235" i="21" s="1"/>
  <c r="H236" i="21" s="1"/>
  <c r="H237" i="21" s="1"/>
  <c r="H238" i="21" s="1"/>
  <c r="H239" i="21" s="1"/>
  <c r="H240" i="21" s="1"/>
  <c r="H241" i="21" s="1"/>
  <c r="H242" i="21" s="1"/>
  <c r="H243" i="21" s="1"/>
  <c r="H244" i="21" s="1"/>
  <c r="H245" i="21" s="1"/>
  <c r="H246" i="21" s="1"/>
  <c r="H247" i="21" s="1"/>
  <c r="H248" i="21" s="1"/>
  <c r="H249" i="21" s="1"/>
  <c r="H250" i="21" s="1"/>
  <c r="H251" i="21" s="1"/>
  <c r="H252" i="21" s="1"/>
  <c r="H253" i="21" s="1"/>
  <c r="H254" i="21" s="1"/>
  <c r="H255" i="21" s="1"/>
  <c r="H256" i="21" s="1"/>
  <c r="H257" i="21" s="1"/>
  <c r="H258" i="21" s="1"/>
  <c r="H259" i="21" s="1"/>
  <c r="H260" i="21" s="1"/>
  <c r="H261" i="21" s="1"/>
  <c r="H262" i="21" s="1"/>
  <c r="E12" i="29" a="1"/>
  <c r="E12" i="29" s="1"/>
  <c r="B9" i="2"/>
  <c r="B5" i="2"/>
  <c r="E13" i="29" a="1"/>
  <c r="E13" i="29" s="1"/>
  <c r="B13" i="2"/>
  <c r="B6" i="2"/>
  <c r="B10" i="2"/>
  <c r="B7" i="2"/>
  <c r="B11" i="2"/>
  <c r="B3" i="2"/>
  <c r="B4" i="2"/>
  <c r="B8" i="2"/>
  <c r="B12" i="2"/>
  <c r="C6" i="2"/>
  <c r="B21" i="2" s="1"/>
  <c r="C10" i="2"/>
  <c r="B25" i="2" s="1"/>
  <c r="C2" i="2"/>
  <c r="B17" i="2" s="1"/>
  <c r="C7" i="2"/>
  <c r="B22" i="2" s="1"/>
  <c r="C11" i="2"/>
  <c r="B26" i="2" s="1"/>
  <c r="C3" i="2"/>
  <c r="B18" i="2" s="1"/>
  <c r="C4" i="2"/>
  <c r="B19" i="2" s="1"/>
  <c r="C8" i="2"/>
  <c r="B23" i="2" s="1"/>
  <c r="C12" i="2"/>
  <c r="B27" i="2" s="1"/>
  <c r="C5" i="2"/>
  <c r="B20" i="2" s="1"/>
  <c r="C9" i="2"/>
  <c r="B24" i="2" s="1"/>
  <c r="C13" i="2"/>
  <c r="B28" i="2" s="1"/>
  <c r="B2" i="2"/>
  <c r="E17" i="29" a="1"/>
  <c r="E17" i="29" s="1"/>
  <c r="E19" i="29" a="1"/>
  <c r="E19" i="29" s="1"/>
  <c r="E15" i="29" a="1"/>
  <c r="E15" i="29" s="1"/>
  <c r="E14" i="29" l="1"/>
  <c r="E16" i="29" s="1"/>
  <c r="E18" i="29" s="1"/>
  <c r="E20" i="29" s="1"/>
  <c r="M12" i="29"/>
  <c r="G12" i="29"/>
  <c r="G15" i="29"/>
  <c r="G17" i="29"/>
  <c r="G13" i="29"/>
  <c r="G19" i="29"/>
  <c r="G14" i="29" l="1"/>
  <c r="K16" i="29" s="1"/>
  <c r="G16" i="29" l="1"/>
  <c r="G18" i="29" l="1"/>
  <c r="G20" i="2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<sst xmlns="http://schemas.openxmlformats.org/spreadsheetml/2006/main" count="1647" uniqueCount="466">
  <si>
    <t>Aluguel</t>
  </si>
  <si>
    <t>Vale transporte</t>
  </si>
  <si>
    <t>Fornecedor</t>
  </si>
  <si>
    <t>Material escritório/limpeza</t>
  </si>
  <si>
    <t>Gás</t>
  </si>
  <si>
    <t>Combustível</t>
  </si>
  <si>
    <t>Manutenção</t>
  </si>
  <si>
    <t>Impressão</t>
  </si>
  <si>
    <t>Não Operacional</t>
  </si>
  <si>
    <t>Motoboys</t>
  </si>
  <si>
    <t>Investimento</t>
  </si>
  <si>
    <t>Prolabore</t>
  </si>
  <si>
    <t>Retirada socios</t>
  </si>
  <si>
    <t>Ajuda de custo - motoboy</t>
  </si>
  <si>
    <t>Vale Alimentação</t>
  </si>
  <si>
    <t>Diárias - free lancer</t>
  </si>
  <si>
    <t>Farmácia</t>
  </si>
  <si>
    <t>Taxa de cartão</t>
  </si>
  <si>
    <t>Fluxo de Caixa</t>
  </si>
  <si>
    <t>JANEIRO</t>
  </si>
  <si>
    <t>Receita de Vendas</t>
  </si>
  <si>
    <t>Gastos Variáveis</t>
  </si>
  <si>
    <t>Margem de Contribuição</t>
  </si>
  <si>
    <t>Despesas Fixas</t>
  </si>
  <si>
    <t>Lucro antes Investimentos</t>
  </si>
  <si>
    <t>Investimentos</t>
  </si>
  <si>
    <t>Lucro Operacional</t>
  </si>
  <si>
    <t>Resultado do período</t>
  </si>
  <si>
    <t>Data</t>
  </si>
  <si>
    <t>Descrição</t>
  </si>
  <si>
    <t>Categoria</t>
  </si>
  <si>
    <t>Entrada</t>
  </si>
  <si>
    <t>Saída</t>
  </si>
  <si>
    <t>Saldo</t>
  </si>
  <si>
    <t>RECEITA</t>
  </si>
  <si>
    <t>FEVEREIRO</t>
  </si>
  <si>
    <t>DESPESAS FIXAS</t>
  </si>
  <si>
    <t>GASTOS VARIÁVEIS</t>
  </si>
  <si>
    <t>INVESTIMENTOS</t>
  </si>
  <si>
    <t>Taxa Ifood</t>
  </si>
  <si>
    <t>FLUXO DE CAIXA</t>
  </si>
  <si>
    <t>CATEGORIA</t>
  </si>
  <si>
    <t>Embalagens</t>
  </si>
  <si>
    <t>NÃO OPERACIONAL</t>
  </si>
  <si>
    <t>Móveis e Utensílios</t>
  </si>
  <si>
    <t>CONTROLE DE CAIXA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</si>
  <si>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</si>
  <si>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</si>
  <si>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</si>
  <si>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</si>
  <si>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</si>
  <si>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</si>
  <si>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</si>
  <si>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</si>
  <si>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</si>
  <si>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</si>
  <si>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DAS Simples Nacional</t>
  </si>
  <si>
    <t>DAS - MEI</t>
  </si>
  <si>
    <t>Energia Elétrica</t>
  </si>
  <si>
    <t>Internet e Telefone</t>
  </si>
  <si>
    <t>Contador</t>
  </si>
  <si>
    <t>Recebimento de venda</t>
  </si>
  <si>
    <t xml:space="preserve">Salário </t>
  </si>
  <si>
    <t>Softwares</t>
  </si>
  <si>
    <t xml:space="preserve">Empréstimos </t>
  </si>
  <si>
    <t>Aporte de capital</t>
  </si>
  <si>
    <t>Água e esgoto</t>
  </si>
  <si>
    <t>Marketing</t>
  </si>
  <si>
    <t>Troco e devolução</t>
  </si>
  <si>
    <t>Comissões</t>
  </si>
  <si>
    <t>FGTS</t>
  </si>
  <si>
    <t>INSS</t>
  </si>
  <si>
    <t>AV</t>
  </si>
  <si>
    <t>CONSOLIDADO</t>
  </si>
  <si>
    <t>CMV</t>
  </si>
  <si>
    <t>MESES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</si>
  <si>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</si>
  <si>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</si>
  <si>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</si>
  <si>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</si>
  <si>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</si>
  <si>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</si>
  <si>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</si>
  <si>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</si>
  <si>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</si>
  <si>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</si>
  <si>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</si>
  <si>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</si>
  <si>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DESPESAS</t>
  </si>
  <si>
    <t>PONTO DE EQUILIBRIO</t>
  </si>
  <si>
    <t>BANCO 1:</t>
  </si>
  <si>
    <t>BANCO 2:</t>
  </si>
  <si>
    <t>BANCO 3:</t>
  </si>
  <si>
    <t>BANCO 4:</t>
  </si>
  <si>
    <t>BANCO 5:</t>
  </si>
  <si>
    <t>SALDOS INICIAL:</t>
  </si>
  <si>
    <t>DINHEIRO EM ESPÉCIE:</t>
  </si>
  <si>
    <t>Mês</t>
  </si>
  <si>
    <t>Fórmula</t>
  </si>
  <si>
    <t>SALDO INICIAL:</t>
  </si>
  <si>
    <t>BANCO DO BRASIL:</t>
  </si>
  <si>
    <t xml:space="preserve">BANCO 2: </t>
  </si>
  <si>
    <t>mei</t>
  </si>
  <si>
    <t>MERCADO PAGO</t>
  </si>
  <si>
    <t>NUBANK</t>
  </si>
  <si>
    <t>COMPRA DE CAFÉ</t>
  </si>
  <si>
    <t>COMPRA DE AÇUCAR</t>
  </si>
  <si>
    <t>COMPRA DE MASSA DE TAPIOCA</t>
  </si>
  <si>
    <t>PAGAMENTO DE ALUGUEL</t>
  </si>
  <si>
    <t>RECEBIMENTO DE VENDAS DO DIA</t>
  </si>
  <si>
    <t>EQUATORIAL</t>
  </si>
  <si>
    <t>PAGAMENTO DE SALÁRIOS</t>
  </si>
  <si>
    <t>EMPRÉSTIMO BANCÁRIO</t>
  </si>
  <si>
    <t>APORTE DO SÓCIO</t>
  </si>
  <si>
    <t>MARKETING</t>
  </si>
  <si>
    <t>RETIRADA DOS SÓCIOS</t>
  </si>
  <si>
    <t>SISTEMA</t>
  </si>
  <si>
    <t>MANUTENÇÃO DE LAMPADAS</t>
  </si>
  <si>
    <t>CANTINA BOM PRATO</t>
  </si>
  <si>
    <t>TARIFAS BANCÁRIAS</t>
  </si>
  <si>
    <t>31/05/2026</t>
  </si>
  <si>
    <t>30/05/2026</t>
  </si>
  <si>
    <t>29/05/2026</t>
  </si>
  <si>
    <t>28/05/2026</t>
  </si>
  <si>
    <t>27/05/2026</t>
  </si>
  <si>
    <t>26/05/2026</t>
  </si>
  <si>
    <t>25/05/2026</t>
  </si>
  <si>
    <t>24/05/2026</t>
  </si>
  <si>
    <t>23/05/2026</t>
  </si>
  <si>
    <t>22/05/2026</t>
  </si>
  <si>
    <t>21/05/2026</t>
  </si>
  <si>
    <t>20/05/2026</t>
  </si>
  <si>
    <t>19/05/2026</t>
  </si>
  <si>
    <t>18/05/2026</t>
  </si>
  <si>
    <t>17/05/2026</t>
  </si>
  <si>
    <t>16/05/2026</t>
  </si>
  <si>
    <t>15/05/2026</t>
  </si>
  <si>
    <t>14/05/2026</t>
  </si>
  <si>
    <t>13/05/2026</t>
  </si>
  <si>
    <t>12/05/2026</t>
  </si>
  <si>
    <t>11/05/2026</t>
  </si>
  <si>
    <t>10/05/2026</t>
  </si>
  <si>
    <t>09/05/2026</t>
  </si>
  <si>
    <t>Lucas Freire Tavares Braga</t>
  </si>
  <si>
    <t>Otavio Junqueira Esteves Jardim</t>
  </si>
  <si>
    <t>MARCELO JUNQUEIRA MACEDO</t>
  </si>
  <si>
    <t>Queila Klein Cardoso</t>
  </si>
  <si>
    <t>HELENA KLEIN GALVAO ROCHA</t>
  </si>
  <si>
    <t>Everton Prado Caldeira Fernandes</t>
  </si>
  <si>
    <t>ISABELA SIQUEIRA QUADROS</t>
  </si>
  <si>
    <t>Julio Galvao Dias</t>
  </si>
  <si>
    <t>CESAR PRADO DANTAS</t>
  </si>
  <si>
    <t>Elisa Duarte Freire</t>
  </si>
  <si>
    <t>KARINA ZANETTI ROCHA GALVAO</t>
  </si>
  <si>
    <t>VINICIUS CALDEIRA HORTA</t>
  </si>
  <si>
    <t>Rafael Rocha Salgado</t>
  </si>
  <si>
    <t>TOMAS NEVES TAVARES DUARTE</t>
  </si>
  <si>
    <t>Wanda Lemos Tavares Horta</t>
  </si>
  <si>
    <t>QUEILA CARDOSO SIQUEIRA DANTAS</t>
  </si>
  <si>
    <t>EMANUEL OLIVEIRA MACEDO MACEDO</t>
  </si>
  <si>
    <t>Julio Bastos Lemos Andrade</t>
  </si>
  <si>
    <t>DIEGO KLEIN FREIRE</t>
  </si>
  <si>
    <t>Natalia Almeida Tavares</t>
  </si>
  <si>
    <t>LUCAS QUADROS ANDRADE</t>
  </si>
  <si>
    <t>Julio Freire Quadros Andrade</t>
  </si>
  <si>
    <t>RAFAEL DIAS DUARTE</t>
  </si>
  <si>
    <t>JULIO ROCHA IBRAHIM GUIMARAES</t>
  </si>
  <si>
    <t>Wagner Fernandes Neves</t>
  </si>
  <si>
    <t>URSULA MORAES BARBOSA VASCONCELOS</t>
  </si>
  <si>
    <t>BRUNO CARDOSO MORAES ANDRADE</t>
  </si>
  <si>
    <t>Rafael Queiroz Macedo Barbosa</t>
  </si>
  <si>
    <t>GIOVANA JARDIM DANTAS ESTEVES</t>
  </si>
  <si>
    <t>Alice Rocha Moraes Freire</t>
  </si>
  <si>
    <t>ANA CARDOSO NEVES</t>
  </si>
  <si>
    <t>OSCAR VASCONCELOS PRADO RAMOS</t>
  </si>
  <si>
    <t>Camila Salgado Jardim Dias</t>
  </si>
  <si>
    <t>Mariana Junqueira Moraes Jardim</t>
  </si>
  <si>
    <t>Wanda Tavares Henriques Prado</t>
  </si>
  <si>
    <t>TRAMONTANA SERVICOS LTDA</t>
  </si>
  <si>
    <t>FAROL PARTICIPACOES ME</t>
  </si>
  <si>
    <t>ULISSES ROCHA OLIVEIRA QUADROS</t>
  </si>
  <si>
    <t>LETICIA HORTA SIQUEIRA ALMEIDA</t>
  </si>
  <si>
    <t>LARISSA SALGADO DUARTE HORTA</t>
  </si>
  <si>
    <t>Isabela Dantas Uchoa Xavier</t>
  </si>
  <si>
    <t>ALEXANDRE BARBOSA BASTOS MACEDO</t>
  </si>
  <si>
    <t>Wanda Zanetti Barbosa Junqueira</t>
  </si>
  <si>
    <t>MARIANA PACHECO CARDOSO</t>
  </si>
  <si>
    <t>Desconhecido</t>
  </si>
  <si>
    <t>Stone Principal</t>
  </si>
  <si>
    <t>Wanda Esteves Lacerda Barbosa</t>
  </si>
  <si>
    <t>ANA GUIMARAES VALENTE</t>
  </si>
  <si>
    <t>LUMIAR ALIMENTOS ME</t>
  </si>
  <si>
    <t>ISABELA MACEDO FREIRE FONTES</t>
  </si>
  <si>
    <t>OSCAR BASTOS GUIMARAES</t>
  </si>
  <si>
    <t>CAMILA CALDEIRA DIAS</t>
  </si>
  <si>
    <t>Juliana Pacheco Nogueira Cardoso</t>
  </si>
  <si>
    <t>ELISA DUARTE FREIRE</t>
  </si>
  <si>
    <t>Alexandre Lacerda Guimaraes Duarte</t>
  </si>
  <si>
    <t>WANDA TAVARES HENRIQUES PRADO</t>
  </si>
  <si>
    <t>EMANUEL COUTINHO FREIRE</t>
  </si>
  <si>
    <t>MATHEUS XAVIER FONTES VALENTE</t>
  </si>
  <si>
    <t>Matheus Duarte Duarte Fernandes</t>
  </si>
  <si>
    <t>SOFIA FERNANDES ROCHA NOGUEIRA</t>
  </si>
  <si>
    <t>OLIVIA CARDOSO PACHECO</t>
  </si>
  <si>
    <t>Davi Andrade Junqueira</t>
  </si>
  <si>
    <t>Mariana Rocha Coutinho Braga</t>
  </si>
  <si>
    <t>Denise Tavares Cardoso</t>
  </si>
  <si>
    <t>RAFAEL JARDIM TEIXEIRA BASTOS</t>
  </si>
  <si>
    <t>Priscila Galvao Freire Lemos</t>
  </si>
  <si>
    <t>CAMILA CARDOSO MACEDO</t>
  </si>
  <si>
    <t>FLAVIA PRADO</t>
  </si>
  <si>
    <t>FERNANDA COUTINHO HENRIQUES SALGADO</t>
  </si>
  <si>
    <t>ORION PARTICIPACOES LTDA</t>
  </si>
  <si>
    <t>NADIA JUNQUEIRA PRADO KLEIN</t>
  </si>
  <si>
    <t>Carlos Guimaraes Junqueira Oliveira</t>
  </si>
  <si>
    <t>PATRICIA GALVAO LEMOS</t>
  </si>
  <si>
    <t>PAULO VALENTE FONTES ZANETTI</t>
  </si>
  <si>
    <t>DIEGO QUEIROZ SALGADO</t>
  </si>
  <si>
    <t>EVERTON IBRAHIM DANTAS</t>
  </si>
  <si>
    <t>Ana Fernandes Esteves Queiroz</t>
  </si>
  <si>
    <t>NICOLAS MACEDO MORAES JUNQUEIRA</t>
  </si>
  <si>
    <t>Nadia Galvao Gomes</t>
  </si>
  <si>
    <t>Patricia Salgado Andrade Vasconcelos</t>
  </si>
  <si>
    <t>JULIO JUNQUEIRA MACEDO QUADROS</t>
  </si>
  <si>
    <t>YASMIN QUEIROZ RAMOS PRADO</t>
  </si>
  <si>
    <t>NICOLAS DUARTE OLIVEIRA</t>
  </si>
  <si>
    <t>YASMIN VALENTE TEIXEIRA FONTES</t>
  </si>
  <si>
    <t>CARLOS PACHECO MORAES PRADO</t>
  </si>
  <si>
    <t>FELIPE QUADROS DANTAS RAMOS</t>
  </si>
  <si>
    <t>CESAR GOMES VASCONCELOS LACERDA</t>
  </si>
  <si>
    <t>Karina Tavares Queiroz Quadros</t>
  </si>
  <si>
    <t>Priscila Coutinho Macedo Klein</t>
  </si>
  <si>
    <t>Elisa Queiroz Oliveira Freire</t>
  </si>
  <si>
    <t>EVERTON GOMES TAVARES BRAGA</t>
  </si>
  <si>
    <t>Eduarda Macedo Horta</t>
  </si>
  <si>
    <t>Helena Fernandes Lacerda Horta</t>
  </si>
  <si>
    <t>CARLOS ESTEVES HENRIQUES OLIVEIRA</t>
  </si>
  <si>
    <t>CESAR JUNQUEIRA TEIXEIRA HENRIQUES</t>
  </si>
  <si>
    <t>Bianca Rocha Fernandes Dias</t>
  </si>
  <si>
    <t>Thiago Uchoa Barbosa Zanetti</t>
  </si>
  <si>
    <t>URSULA VASCONCELOS CARDOSO SALGADO</t>
  </si>
  <si>
    <t>MARIANA GOMES PACHECO VALENTE</t>
  </si>
  <si>
    <t>Vinicius Duarte Xavier</t>
  </si>
  <si>
    <t>FERNANDA RAMOS DUARTE</t>
  </si>
  <si>
    <t>ISABELA QUADROS FERNANDES FONTES</t>
  </si>
  <si>
    <t>SOFIA GALVAO VALENTE IBRAHIM</t>
  </si>
  <si>
    <t>NATALIA ANDRADE ANDRADE VASCONCELOS</t>
  </si>
  <si>
    <t>ISABELA QUEIROZ DANTAS SALGADO</t>
  </si>
  <si>
    <t>VINICIUS LEMOS CALDEIRA</t>
  </si>
  <si>
    <t>Tomas Almeida Henriques Quadros</t>
  </si>
  <si>
    <t>Vinicius Fernandes Rocha Siqueira</t>
  </si>
  <si>
    <t>GABRIELA QUADROS ROCHA JARDIM</t>
  </si>
  <si>
    <t>Alexandre Siqueira Andrade</t>
  </si>
  <si>
    <t>JULIANA MORAES MACEDO FREIRE</t>
  </si>
  <si>
    <t>BERNARDO VALENTE AMARAL</t>
  </si>
  <si>
    <t>YASMIN ANDRADE QUEIROZ</t>
  </si>
  <si>
    <t>SOFIA AMARAL XAVIER</t>
  </si>
  <si>
    <t>Alexandre Neves Lemos Salgado</t>
  </si>
  <si>
    <t>helena fernandes lacerda horta</t>
  </si>
  <si>
    <t>VINICIUS DIAS IBRAHIM</t>
  </si>
  <si>
    <t>JULIANA PACHECO NOGUEIRA CARDOSO</t>
  </si>
  <si>
    <t>PRISCILA ALMEIDA TAVARES</t>
  </si>
  <si>
    <t>BERNARDO GUIMARAES COUTINHO</t>
  </si>
  <si>
    <t>Mariana Ibrahim Esteves Moraes</t>
  </si>
  <si>
    <t>PAULO NEVES FONTES</t>
  </si>
  <si>
    <t>Olivia Zanetti Coutinho Pacheco</t>
  </si>
  <si>
    <t>Helena Dias Barbosa Lacerda</t>
  </si>
  <si>
    <t>Patricia Esteves Andrade</t>
  </si>
  <si>
    <t>Carlos Teixeira Ramos Amaral</t>
  </si>
  <si>
    <t>GIOVANA ALMEIDA KLEIN</t>
  </si>
  <si>
    <t>ELISA LEMOS DANTAS LACERDA</t>
  </si>
  <si>
    <t>Paulo Valente Fontes Zanetti</t>
  </si>
  <si>
    <t>NICOLAS DIAS BASTOS</t>
  </si>
  <si>
    <t>Ana Quadros Gomes</t>
  </si>
  <si>
    <t>Tomas Ibrahim Valente Bastos</t>
  </si>
  <si>
    <t>JATOBA SERVICOS S/A</t>
  </si>
  <si>
    <t>CESAR TEIXEIRA QUADROS ESTEVES</t>
  </si>
  <si>
    <t>Isabela Siqueira Oliveira</t>
  </si>
  <si>
    <t>NORTE SUPRIMENTOS EIRELI</t>
  </si>
  <si>
    <t>Julio Pacheco Barbosa Uchoa</t>
  </si>
  <si>
    <t>TATIANA KLEIN NOGUEIRA BASTOS</t>
  </si>
  <si>
    <t>IGOR ALMEIDA BRAGA BRAGA</t>
  </si>
  <si>
    <t>BEATRIZ TEIXEIRA ROCHA</t>
  </si>
  <si>
    <t>TOMAS IBRAHIM GOMES DUARTE</t>
  </si>
  <si>
    <t>Julio Tavares Galvao</t>
  </si>
  <si>
    <t>Renato Xavier Uchoa</t>
  </si>
  <si>
    <t>MATHEUS QUADROS BASTOS QUEIROZ</t>
  </si>
  <si>
    <t>SIMONE ALMEIDA PRADO HENRIQUES</t>
  </si>
  <si>
    <t>BERNARDO HORTA AMARAL BASTOS</t>
  </si>
  <si>
    <t>Davi Fernandes Macedo Fontes</t>
  </si>
  <si>
    <t>Juliana Esteves Duarte</t>
  </si>
  <si>
    <t>RENATO SIQUEIRA ESTEVES</t>
  </si>
  <si>
    <t>VITOR TEIXEIRA COUTINHO DANTAS</t>
  </si>
  <si>
    <t>CARLOS DANTAS NOGUEIRA</t>
  </si>
  <si>
    <t>SIMONE KLEIN DUARTE</t>
  </si>
  <si>
    <t>olivia duarte prado</t>
  </si>
  <si>
    <t>THIAGO SALGADO TEIXEIRA</t>
  </si>
  <si>
    <t>Lucas Duarte Oliveira</t>
  </si>
  <si>
    <t>FABIO HENRIQUES HORTA</t>
  </si>
  <si>
    <t>PRISCILA GALVAO PRADO GOMES</t>
  </si>
  <si>
    <t>CESAR DANTAS LEMOS HORTA</t>
  </si>
  <si>
    <t>Mariana Freire Queiroz Ramos</t>
  </si>
  <si>
    <t>LETICIA TEIXEIRA BARBOSA GOMES</t>
  </si>
  <si>
    <t>Daniel Ramos Lacerda</t>
  </si>
  <si>
    <t>amanda almeida amaral rocha</t>
  </si>
  <si>
    <t>Simone Pacheco Xavier</t>
  </si>
  <si>
    <t>Otavio Nogueira Galvao Junqueira</t>
  </si>
  <si>
    <t>EMANUEL XAVIER NOGUEIRA DANTAS</t>
  </si>
  <si>
    <t>OLIVIA ALMEIDA UCHOA MORAES</t>
  </si>
  <si>
    <t>Valeria Gomes Valente</t>
  </si>
  <si>
    <t>Rafael Dias Duarte</t>
  </si>
  <si>
    <t>AMANDA LACERDA ESTEVES</t>
  </si>
  <si>
    <t>HUGO MORAES ALMEIDA AMARAL</t>
  </si>
  <si>
    <t>Queila Bastos Neves</t>
  </si>
  <si>
    <t>DESPESA</t>
  </si>
  <si>
    <t>taxa são joão vila embratel</t>
  </si>
  <si>
    <t>vertente solucoes ltda</t>
  </si>
  <si>
    <t>compra insumos feira</t>
  </si>
  <si>
    <t>zeca lemos</t>
  </si>
  <si>
    <t>NATALIA DUARTE</t>
  </si>
  <si>
    <t xml:space="preserve">Transferêncisa saldo conta PF </t>
  </si>
  <si>
    <t xml:space="preserve">BANCO 1: </t>
  </si>
  <si>
    <t>17/06/2026</t>
  </si>
  <si>
    <t>Pix - Heitor Neves Horta</t>
  </si>
  <si>
    <t>Pix - PATRICIA ANDRADE BARBOSA HORTA</t>
  </si>
  <si>
    <t>Pix - Cesar Quadros Tavares Siqueira</t>
  </si>
  <si>
    <t>Pix - FABIO SIQUEIRA VASCONCELOS ZANETTI</t>
  </si>
  <si>
    <t>Maquininha - Rafael Dias Duarte</t>
  </si>
  <si>
    <t>Maquininha - Tomas Tavares Junqueira Macedo</t>
  </si>
  <si>
    <t>Pix - EVERTON IBRAHIM JARDIM MORAES</t>
  </si>
  <si>
    <t>Pix - Alexandre Braga Esteves Teixeira</t>
  </si>
  <si>
    <t>Pix - ULISSES MACEDO AMARAL</t>
  </si>
  <si>
    <t>Antecipação de Crédito</t>
  </si>
  <si>
    <t>18/06/2026</t>
  </si>
  <si>
    <t>Maquininha - NADIA LACERDA FONTES CALDEIRA</t>
  </si>
  <si>
    <t>Cartão Débito - Elo</t>
  </si>
  <si>
    <t>19/06/2026</t>
  </si>
  <si>
    <t>Maquininha - Beatriz Pacheco Horta</t>
  </si>
  <si>
    <t>Pix - PATRICIA GALVAO LEMOS</t>
  </si>
  <si>
    <t>Maquininha - Camila Salgado Jardim Dias</t>
  </si>
  <si>
    <t>Pix - Mariana Junqueira Moraes Jardim</t>
  </si>
  <si>
    <t>Pix - Diego Freire Cardoso Fernandes</t>
  </si>
  <si>
    <t>Maquininha - RAFAEL DIAS DUARTE</t>
  </si>
  <si>
    <t>Pix - Elisa Queiroz Oliveira Freire</t>
  </si>
  <si>
    <t>Pix - DAVI JUNQUEIRA LEMOS TAVARES</t>
  </si>
  <si>
    <t>Cartão Débito - Maestro</t>
  </si>
  <si>
    <t>20/06/2026</t>
  </si>
  <si>
    <t>Maquininha - Igor Bastos Prado Tavares</t>
  </si>
  <si>
    <t>Pix - Patricia Jardim Prado</t>
  </si>
  <si>
    <t>Maquininha - YASMIN PACHECO ROCHA QUADROS</t>
  </si>
  <si>
    <t>Maquininha - ELISA GUIMARAES KLEIN QUADROS</t>
  </si>
  <si>
    <t>Pix - Juliana Esteves Duarte</t>
  </si>
  <si>
    <t>Pix - Rafael Jardim Teixeira Bastos</t>
  </si>
  <si>
    <t>21/06/2026</t>
  </si>
  <si>
    <t>Maquininha - Queila Klein Cardoso</t>
  </si>
  <si>
    <t>Maquininha - Ana Barbosa Macedo Fontes</t>
  </si>
  <si>
    <t>Pix - BERNARDO GUIMARAES COUTINHO</t>
  </si>
  <si>
    <t>Maquininha - PAULO VALENTE FONTES ZANETTI</t>
  </si>
  <si>
    <t>Pix - FERNANDA COUTINHO HENRIQUES SALGADO</t>
  </si>
  <si>
    <t>Maquininha - LARISSA MORAES OLIVEIRA</t>
  </si>
  <si>
    <t>Pix - RAFAEL VASCONCELOS FERNANDES</t>
  </si>
  <si>
    <t>Pix - Vinicius Fernandes Rocha Siqueira</t>
  </si>
  <si>
    <t>Maquininha - BRUNO SALGADO DUARTE FERNANDES</t>
  </si>
  <si>
    <t>Maquininha - Eduarda Teixeira Barbosa Coutinho</t>
  </si>
  <si>
    <t>Maquininha - OSCAR VALENTE TEIXEIRA ESTEVES</t>
  </si>
  <si>
    <t>Maquininha - Kevin Queiroz Coutinho</t>
  </si>
  <si>
    <t>22/06/2026</t>
  </si>
  <si>
    <t>Pix - Juliana Pacheco Nogueira Cardoso</t>
  </si>
  <si>
    <t>Pix - Everton Prado Caldeira Fernandes</t>
  </si>
  <si>
    <t>Cartão Débito - Visa Electron</t>
  </si>
  <si>
    <t>Maquininha - Eduarda Cardoso Fontes Fernandes</t>
  </si>
  <si>
    <t>Maquininha - Fernanda Zanetti Lemos</t>
  </si>
  <si>
    <t>23/06/2026</t>
  </si>
  <si>
    <t>Maquininha - TATIANA HENRIQUES PRADO SIQUEIRA</t>
  </si>
  <si>
    <t>Maquininha - JULIO MACEDO ZANETTI DUARTE</t>
  </si>
  <si>
    <t>Pix - Wanda Zanetti Guimaraes</t>
  </si>
  <si>
    <t>Pix - WANDA CARDOSO ZANETTI</t>
  </si>
  <si>
    <t>Pix - CESAR TEIXEIRA QUADROS ESTEVES</t>
  </si>
  <si>
    <t>Pix - Tatiana Moraes Valente</t>
  </si>
  <si>
    <t>Pix - WANDA FONTES SALGADO AMARAL</t>
  </si>
  <si>
    <t>Pix - LARISSA OLIVEIRA RAMOS JUNQUEIRA</t>
  </si>
  <si>
    <t>24/06/2026</t>
  </si>
  <si>
    <t>Pix - Clara Klein Fernandes Barbosa</t>
  </si>
  <si>
    <t>Pix - Alexandre Horta Zanetti</t>
  </si>
  <si>
    <t>Pix - Wanda Lemos Tavares Horta</t>
  </si>
  <si>
    <t>Tarifa bancária</t>
  </si>
  <si>
    <t>Pix - Wanda Tavares Henriques Prado</t>
  </si>
  <si>
    <t>Pix - PAULO VALENTE FONTES ZANETTI</t>
  </si>
  <si>
    <t>Pix - Gabriela Neves Klein Oliveira</t>
  </si>
  <si>
    <t>Pix - RAFAEL TEIXEIRA MACEDO</t>
  </si>
  <si>
    <t>Pix - Fabio Gomes Oliveira Fernandes</t>
  </si>
  <si>
    <t>Pix - BEATRIZ JARDIM FONTES HORTA</t>
  </si>
  <si>
    <t>Pix - GIOVANA JARDIM DANTAS ESTEVES</t>
  </si>
  <si>
    <t>RECEBIBMENTO ANTECIPAÇÃO VENDAS</t>
  </si>
  <si>
    <t>Pix - Rafael Salgado Vasconcelos Jardim</t>
  </si>
  <si>
    <t>Tarifa</t>
  </si>
  <si>
    <t>PAULO VALENTE FONTES ZANETTI - Pix</t>
  </si>
  <si>
    <t>Nicolas Barbosa Barbosa Ramos - Pix</t>
  </si>
  <si>
    <t>CANTINA BOM PRATO LTDA - Pix</t>
  </si>
  <si>
    <t>Zeca Fontes Klein Prado - Pix</t>
  </si>
  <si>
    <t>Heitor Braga Zanetti Klein - Pix</t>
  </si>
  <si>
    <t>Juliana Andrade Valente Barbosa - Pix</t>
  </si>
  <si>
    <t>CESAR TEIXEIRA QUADROS ESTEVES - Pix</t>
  </si>
  <si>
    <t>Elisa Henriques Oliveira Rocha - Pix</t>
  </si>
  <si>
    <t>Ana Lacerda Uchoa - Pix</t>
  </si>
  <si>
    <t>Natalia Almeida Tavares - Pix</t>
  </si>
  <si>
    <t>RAFAEL DIAS DUARTE - Pix</t>
  </si>
  <si>
    <t>VITOR VALENTE MORAES BARBOSA - Pix</t>
  </si>
  <si>
    <t>Recebimento vendas Visa Electron</t>
  </si>
  <si>
    <t>Recebimento vendas Maestro</t>
  </si>
  <si>
    <t>Recebimento vendas Antecipação</t>
  </si>
  <si>
    <t>Juliana Uchoa Jardim Junqueira - Pix</t>
  </si>
  <si>
    <t>Gustavo Lemos Fontes Horta - Pix</t>
  </si>
  <si>
    <t>Cesar Valente Valente Uchoa - Pix</t>
  </si>
  <si>
    <t>NATALIA ESTEVES MORAES - Pix</t>
  </si>
  <si>
    <t>DENISE SIQUEIRA QUADROS COUTINHO - Pix</t>
  </si>
  <si>
    <t>JULIANA CALDEIRA CARDOSO - Pix</t>
  </si>
  <si>
    <t>MARCELO ESTEVES ESTEVES VASCONCELOS - Pix</t>
  </si>
  <si>
    <t>Gabriela Neves Klein Oliveira - Pix</t>
  </si>
  <si>
    <t>Wanda Tavares Henriques Prado - Pix</t>
  </si>
  <si>
    <t>PRISCILA PACHECO PRADO HENRIQUES - Pix</t>
  </si>
  <si>
    <t>Recebimento vendas Elo</t>
  </si>
  <si>
    <t>DELTA SERVICOS EIRELI - Pix</t>
  </si>
  <si>
    <t>Wanda Lemos Tavares Horta - Pix</t>
  </si>
  <si>
    <t>CAMILA BASTOS AMARAL RAMOS - Pix</t>
  </si>
  <si>
    <t>FERNANDA RAMOS DUARTE - Pix</t>
  </si>
  <si>
    <t>SILVIA BASTOS LEMOS JARDIM - Pix</t>
  </si>
  <si>
    <t>Everton Prado Caldeira Fernandes - Pix</t>
  </si>
  <si>
    <t>Elisa Duarte Freire - Pix</t>
  </si>
  <si>
    <t>Tatiana Moraes Valente - Pix</t>
  </si>
  <si>
    <t>Olivia Cardoso Amaral Fernandes - Pix</t>
  </si>
  <si>
    <t>Ana Quadros Gomes - Pix</t>
  </si>
  <si>
    <t>Tomas Tavares Junqueira Macedo - Pix</t>
  </si>
  <si>
    <t>Giovana Valente - Pix</t>
  </si>
  <si>
    <t>HEITOR SIQUEIRA UCHOA SALGADO - Pix</t>
  </si>
  <si>
    <t>ZECA QUEIROZ FONTES - Pix</t>
  </si>
  <si>
    <t>VERTENTE MATERIAIS ME - Pix</t>
  </si>
  <si>
    <t>EVERTON XAVIER VASCONCELOS DANTAS - Pix</t>
  </si>
  <si>
    <t>BERNARDO FREIRE QUADROS UCHOA - Pix</t>
  </si>
  <si>
    <t>João Pacheco Pacheco - Pix</t>
  </si>
  <si>
    <t>ELISA GUIMARAES KLEIN QUADROS - Pix</t>
  </si>
  <si>
    <t>Helena Fernandes Lacerda Horta - Pix</t>
  </si>
  <si>
    <t>Rafael Dias Duarte - Pix</t>
  </si>
  <si>
    <t>INES CALDEIRA IBRAHIM PRADO - Pix</t>
  </si>
  <si>
    <t>Otavio Klein Xavier Oliveira - Pix</t>
  </si>
  <si>
    <t>Giovana Cardoso Junqueira Vasconcelos - Pix</t>
  </si>
  <si>
    <t>Queila Esteves Junqueira - Pix</t>
  </si>
  <si>
    <t>Denise Duarte Braga Coutinho - Pix</t>
  </si>
  <si>
    <t>Nadia Siqueira Andrade Andrade - Pix</t>
  </si>
  <si>
    <t>EDUARDA SALGADO JARDIM - Pix</t>
  </si>
  <si>
    <t>Oscar Quadros Pacheco Dias - Pix</t>
  </si>
  <si>
    <t>ZECA RAMOS DIAS FONTES - Pix</t>
  </si>
  <si>
    <t>FLAVIA JUNQUEIRA ALMEIDA PACHECO - Pix</t>
  </si>
  <si>
    <t>Tatiana Pacheco Lacerda Guimaraes - Pix</t>
  </si>
  <si>
    <t>KARINA CALDEIRA DANTAS - Pix</t>
  </si>
  <si>
    <t>OSCAR GUIMARAES NOGUEIRA BRAGA - Pix</t>
  </si>
  <si>
    <t>VINICIUS ESTEVES - Pix</t>
  </si>
  <si>
    <t>QUEILA BARBOSA TAVARES - Pix</t>
  </si>
  <si>
    <t>JULIO GOMES MORAES DANTAS - Pix</t>
  </si>
  <si>
    <t>TRAMONTANA ALIMENTOS LTDA - Pix</t>
  </si>
  <si>
    <t>EVERTON DUARTE NOGUEIRA BASTOS - Pix</t>
  </si>
  <si>
    <t>YASMIN SALGADO VASCONCELOS - Pix</t>
  </si>
  <si>
    <t>JULIO MACEDO ZANETTI DUARTE - Pix</t>
  </si>
  <si>
    <t>DAVI SALGADO - Pix</t>
  </si>
  <si>
    <t>Clara Klein Fernandes Barbosa - Pix</t>
  </si>
  <si>
    <t>Alexandre Horta Zanetti - 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</si>
</sst>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  <numFmt numFmtId="165" formatCode="_-* #,##0.00_-;\-* #,##0.00_-;_-* &quot;-&quot;??_-;_-@"/>
  </numFmts>
  <fonts count="43">
    <font>
      <sz val="10"/>
      <color theme="1"/>
      <name val="Arial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4"/>
      <color theme="0"/>
      <name val="Calibri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b/>
      <sz val="11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rgb="FF00B050"/>
      <name val="Arial"/>
      <family val="2"/>
    </font>
    <font>
      <sz val="11"/>
      <color rgb="FFFF0000"/>
      <name val="Arial"/>
      <family val="2"/>
    </font>
    <font>
      <b/>
      <sz val="14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8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</font>
    <font>
      <sz val="16"/>
      <color theme="0"/>
      <name val="Arial"/>
      <family val="2"/>
    </font>
    <font>
      <sz val="10"/>
      <color theme="0"/>
      <name val="Arial"/>
      <family val="2"/>
      <scheme val="minor"/>
    </font>
    <font>
      <b/>
      <sz val="1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4"/>
      <color theme="0"/>
      <name val="Arial"/>
      <family val="2"/>
    </font>
    <font>
      <sz val="14"/>
      <color rgb="FFFF0000"/>
      <name val="Arial"/>
      <family val="2"/>
      <scheme val="minor"/>
    </font>
    <font>
      <sz val="14"/>
      <color rgb="FF00B05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B050"/>
      <name val="Arial"/>
      <family val="2"/>
      <scheme val="minor"/>
    </font>
    <font>
      <sz val="16"/>
      <color rgb="FF00B050"/>
      <name val="Arial"/>
      <family val="2"/>
    </font>
    <font>
      <b/>
      <sz val="16"/>
      <color theme="0"/>
      <name val="Arial"/>
      <family val="2"/>
    </font>
    <font>
      <sz val="8"/>
      <name val="Arial"/>
      <family val="2"/>
      <scheme val="minor"/>
    </font>
    <font>
      <b/>
      <sz val="16"/>
      <color theme="0"/>
      <name val="Calibri"/>
      <family val="2"/>
    </font>
    <font>
      <b/>
      <sz val="12"/>
      <name val="Calibri"/>
      <family val="2"/>
    </font>
    <font>
      <b/>
      <sz val="12"/>
      <color rgb="FF4B2C6F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sz val="8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rgb="FFFC7F82"/>
      </patternFill>
    </fill>
    <fill>
      <patternFill patternType="solid">
        <fgColor rgb="FF7030A0"/>
        <bgColor indexed="64"/>
      </patternFill>
    </fill>
    <fill>
      <patternFill patternType="solid">
        <fgColor rgb="FFB686DA"/>
        <bgColor indexed="64"/>
      </patternFill>
    </fill>
    <fill>
      <patternFill patternType="solid">
        <fgColor rgb="FFEFE6F6"/>
        <bgColor indexed="64"/>
      </patternFill>
    </fill>
    <fill>
      <patternFill patternType="solid">
        <fgColor rgb="FF5A1F8F"/>
        <bgColor rgb="FF7030A0"/>
      </patternFill>
    </fill>
    <fill>
      <patternFill patternType="solid">
        <fgColor rgb="FF5A1F8F"/>
        <bgColor indexed="64"/>
      </patternFill>
    </fill>
    <fill>
      <patternFill patternType="solid">
        <fgColor rgb="FFE3EEE8"/>
        <bgColor rgb="FFE2EFD9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030A0"/>
      </left>
      <right/>
      <top/>
      <bottom/>
      <diagonal/>
    </border>
    <border>
      <left style="thin">
        <color rgb="FF7030A0"/>
      </left>
      <right/>
      <top style="thin">
        <color rgb="FF7030A0"/>
      </top>
      <bottom/>
      <diagonal/>
    </border>
    <border>
      <left/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421C5E"/>
      </right>
      <top/>
      <bottom/>
      <diagonal/>
    </border>
    <border>
      <left/>
      <right style="thin">
        <color rgb="FFD6C3E6"/>
      </right>
      <top/>
      <bottom/>
      <diagonal/>
    </border>
    <border>
      <left style="thin">
        <color rgb="FFD6C3E6"/>
      </left>
      <right/>
      <top/>
      <bottom/>
      <diagonal/>
    </border>
    <border>
      <left style="thin">
        <color rgb="FFD6C3E6"/>
      </left>
      <right/>
      <top/>
      <bottom style="thin">
        <color rgb="FFD6C3E6"/>
      </bottom>
      <diagonal/>
    </border>
    <border>
      <left/>
      <right/>
      <top/>
      <bottom style="thin">
        <color rgb="FFD6C3E6"/>
      </bottom>
      <diagonal/>
    </border>
    <border>
      <left style="thin">
        <color rgb="FFD6C3E6"/>
      </left>
      <right style="thin">
        <color rgb="FFD6C3E6"/>
      </right>
      <top style="thin">
        <color rgb="FFD6C3E6"/>
      </top>
      <bottom style="thin">
        <color rgb="FFD6C3E6"/>
      </bottom>
      <diagonal/>
    </border>
    <border>
      <left/>
      <right style="thin">
        <color rgb="FFD6C3E6"/>
      </right>
      <top/>
      <bottom style="thin">
        <color rgb="FFD6C3E6"/>
      </bottom>
      <diagonal/>
    </border>
    <border>
      <left style="thin">
        <color rgb="FFD6C3E6"/>
      </left>
      <right/>
      <top style="thin">
        <color rgb="FFD6C3E6"/>
      </top>
      <bottom style="thin">
        <color rgb="FFD6C3E6"/>
      </bottom>
      <diagonal/>
    </border>
    <border>
      <left/>
      <right style="thin">
        <color rgb="FFD6C3E6"/>
      </right>
      <top style="thin">
        <color rgb="FFD6C3E6"/>
      </top>
      <bottom style="thin">
        <color rgb="FFD6C3E6"/>
      </bottom>
      <diagonal/>
    </border>
    <border>
      <left/>
      <right/>
      <top style="thin">
        <color rgb="FFD6C3E6"/>
      </top>
      <bottom style="thin">
        <color rgb="FFD6C3E6"/>
      </bottom>
      <diagonal/>
    </border>
    <border>
      <left/>
      <right style="thin">
        <color rgb="FF5A1F8F"/>
      </right>
      <top/>
      <bottom/>
      <diagonal/>
    </border>
    <border>
      <left style="thin">
        <color rgb="FFD6C3E6"/>
      </left>
      <right style="thin">
        <color rgb="FF5A1F8F"/>
      </right>
      <top style="thin">
        <color rgb="FFD6C3E6"/>
      </top>
      <bottom style="thin">
        <color rgb="FFD6C3E6"/>
      </bottom>
      <diagonal/>
    </border>
    <border>
      <left/>
      <right style="thin">
        <color rgb="FF421C5E"/>
      </right>
      <top style="thin">
        <color rgb="FFD6C3E6"/>
      </top>
      <bottom/>
      <diagonal/>
    </border>
    <border>
      <left style="thin">
        <color rgb="FF421C5E"/>
      </left>
      <right/>
      <top/>
      <bottom/>
      <diagonal/>
    </border>
    <border>
      <left style="thin">
        <color rgb="FF421C5E"/>
      </left>
      <right/>
      <top/>
      <bottom style="thin">
        <color rgb="FFD6C3E6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1"/>
    <xf numFmtId="9" fontId="5" fillId="0" borderId="1" applyFont="0" applyFill="0" applyBorder="0" applyAlignment="0" applyProtection="0"/>
    <xf numFmtId="44" fontId="5" fillId="0" borderId="1" applyFont="0" applyFill="0" applyBorder="0" applyAlignment="0" applyProtection="0"/>
  </cellStyleXfs>
  <cellXfs count="15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4" fontId="0" fillId="0" borderId="0" xfId="2" applyFont="1" applyAlignment="1">
      <alignment vertical="center"/>
    </xf>
    <xf numFmtId="0" fontId="9" fillId="0" borderId="0" xfId="0" applyFont="1" applyAlignment="1">
      <alignment vertical="center"/>
    </xf>
    <xf numFmtId="44" fontId="1" fillId="2" borderId="1" xfId="2" applyFont="1" applyFill="1" applyBorder="1" applyAlignment="1">
      <alignment vertical="center"/>
    </xf>
    <xf numFmtId="44" fontId="1" fillId="0" borderId="0" xfId="2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/>
    <xf numFmtId="164" fontId="3" fillId="0" borderId="1" xfId="0" applyNumberFormat="1" applyFont="1" applyBorder="1"/>
    <xf numFmtId="9" fontId="10" fillId="0" borderId="1" xfId="0" applyNumberFormat="1" applyFont="1" applyBorder="1"/>
    <xf numFmtId="9" fontId="10" fillId="0" borderId="1" xfId="0" applyNumberFormat="1" applyFont="1" applyBorder="1" applyAlignment="1">
      <alignment horizontal="left" vertical="center"/>
    </xf>
    <xf numFmtId="9" fontId="6" fillId="0" borderId="1" xfId="0" applyNumberFormat="1" applyFont="1" applyBorder="1" applyAlignment="1">
      <alignment horizontal="left" vertical="center"/>
    </xf>
    <xf numFmtId="0" fontId="19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7" fontId="8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164" fontId="11" fillId="3" borderId="1" xfId="0" applyNumberFormat="1" applyFont="1" applyFill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/>
    </xf>
    <xf numFmtId="9" fontId="10" fillId="3" borderId="1" xfId="0" applyNumberFormat="1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left" vertical="center"/>
    </xf>
    <xf numFmtId="0" fontId="20" fillId="0" borderId="1" xfId="0" applyFont="1" applyBorder="1" applyAlignment="1">
      <alignment vertical="center"/>
    </xf>
    <xf numFmtId="9" fontId="18" fillId="0" borderId="1" xfId="0" applyNumberFormat="1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9" fontId="13" fillId="0" borderId="1" xfId="1" applyFont="1" applyFill="1" applyBorder="1" applyAlignment="1">
      <alignment horizontal="center" vertical="center"/>
    </xf>
    <xf numFmtId="9" fontId="7" fillId="0" borderId="0" xfId="0" applyNumberFormat="1" applyFont="1" applyAlignment="1">
      <alignment horizontal="left" vertical="center" indent="7"/>
    </xf>
    <xf numFmtId="44" fontId="15" fillId="0" borderId="0" xfId="2" applyFont="1" applyFill="1" applyAlignment="1">
      <alignment horizontal="center" vertical="center"/>
    </xf>
    <xf numFmtId="44" fontId="7" fillId="0" borderId="0" xfId="2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9" fontId="24" fillId="0" borderId="1" xfId="1" applyFont="1" applyFill="1" applyBorder="1" applyAlignment="1">
      <alignment horizontal="center" vertical="center"/>
    </xf>
    <xf numFmtId="0" fontId="20" fillId="0" borderId="0" xfId="0" applyFont="1" applyAlignment="1">
      <alignment horizontal="right"/>
    </xf>
    <xf numFmtId="9" fontId="17" fillId="0" borderId="0" xfId="2" applyNumberFormat="1" applyFont="1" applyFill="1" applyAlignment="1">
      <alignment horizontal="center" vertical="center"/>
    </xf>
    <xf numFmtId="9" fontId="17" fillId="0" borderId="0" xfId="0" applyNumberFormat="1" applyFont="1" applyAlignment="1">
      <alignment horizontal="left" vertical="center" indent="7"/>
    </xf>
    <xf numFmtId="44" fontId="25" fillId="0" borderId="0" xfId="2" applyFont="1" applyFill="1" applyAlignment="1">
      <alignment horizontal="center" vertical="center"/>
    </xf>
    <xf numFmtId="164" fontId="26" fillId="3" borderId="2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/>
    </xf>
    <xf numFmtId="9" fontId="30" fillId="0" borderId="13" xfId="1" applyFont="1" applyFill="1" applyBorder="1" applyAlignment="1">
      <alignment horizontal="center" vertical="center"/>
    </xf>
    <xf numFmtId="9" fontId="29" fillId="0" borderId="4" xfId="1" applyFont="1" applyFill="1" applyBorder="1" applyAlignment="1">
      <alignment horizontal="center" vertical="center"/>
    </xf>
    <xf numFmtId="9" fontId="15" fillId="0" borderId="4" xfId="1" applyFont="1" applyFill="1" applyBorder="1" applyAlignment="1">
      <alignment horizontal="center" vertical="center"/>
    </xf>
    <xf numFmtId="9" fontId="29" fillId="0" borderId="5" xfId="1" applyFont="1" applyFill="1" applyBorder="1" applyAlignment="1">
      <alignment horizontal="center" vertical="center"/>
    </xf>
    <xf numFmtId="0" fontId="0" fillId="3" borderId="15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2" fillId="3" borderId="14" xfId="0" applyFont="1" applyFill="1" applyBorder="1"/>
    <xf numFmtId="0" fontId="10" fillId="3" borderId="14" xfId="0" applyFont="1" applyFill="1" applyBorder="1" applyAlignment="1">
      <alignment horizontal="left"/>
    </xf>
    <xf numFmtId="0" fontId="6" fillId="3" borderId="14" xfId="0" applyFont="1" applyFill="1" applyBorder="1" applyAlignment="1">
      <alignment horizontal="left"/>
    </xf>
    <xf numFmtId="0" fontId="5" fillId="0" borderId="14" xfId="0" applyFont="1" applyBorder="1" applyAlignment="1">
      <alignment vertical="center"/>
    </xf>
    <xf numFmtId="9" fontId="24" fillId="3" borderId="2" xfId="1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vertical="center"/>
    </xf>
    <xf numFmtId="0" fontId="31" fillId="3" borderId="1" xfId="0" applyFont="1" applyFill="1" applyBorder="1" applyAlignment="1">
      <alignment vertical="center"/>
    </xf>
    <xf numFmtId="164" fontId="3" fillId="3" borderId="1" xfId="0" applyNumberFormat="1" applyFont="1" applyFill="1" applyBorder="1"/>
    <xf numFmtId="9" fontId="10" fillId="3" borderId="1" xfId="0" applyNumberFormat="1" applyFont="1" applyFill="1" applyBorder="1"/>
    <xf numFmtId="9" fontId="0" fillId="0" borderId="1" xfId="1" applyFont="1" applyBorder="1" applyAlignment="1">
      <alignment vertical="center"/>
    </xf>
    <xf numFmtId="14" fontId="5" fillId="0" borderId="0" xfId="0" applyNumberFormat="1" applyFont="1" applyAlignment="1">
      <alignment vertical="center"/>
    </xf>
    <xf numFmtId="164" fontId="6" fillId="0" borderId="4" xfId="0" applyNumberFormat="1" applyFont="1" applyBorder="1" applyAlignment="1">
      <alignment horizontal="center" vertical="center"/>
    </xf>
    <xf numFmtId="0" fontId="0" fillId="0" borderId="20" xfId="0" applyBorder="1" applyAlignment="1">
      <alignment vertical="center"/>
    </xf>
    <xf numFmtId="165" fontId="1" fillId="0" borderId="20" xfId="0" applyNumberFormat="1" applyFont="1" applyBorder="1" applyAlignment="1">
      <alignment vertical="center"/>
    </xf>
    <xf numFmtId="0" fontId="0" fillId="0" borderId="22" xfId="0" applyBorder="1" applyAlignment="1">
      <alignment vertical="center"/>
    </xf>
    <xf numFmtId="0" fontId="1" fillId="0" borderId="1" xfId="0" applyFont="1" applyBorder="1" applyAlignment="1">
      <alignment vertical="center"/>
    </xf>
    <xf numFmtId="44" fontId="0" fillId="0" borderId="1" xfId="2" applyFont="1" applyBorder="1" applyAlignment="1">
      <alignment vertical="center"/>
    </xf>
    <xf numFmtId="44" fontId="35" fillId="5" borderId="29" xfId="2" applyFont="1" applyFill="1" applyBorder="1" applyAlignment="1">
      <alignment vertical="center"/>
    </xf>
    <xf numFmtId="44" fontId="35" fillId="5" borderId="27" xfId="2" applyFont="1" applyFill="1" applyBorder="1" applyAlignment="1">
      <alignment vertical="center"/>
    </xf>
    <xf numFmtId="0" fontId="4" fillId="6" borderId="26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4" fillId="4" borderId="1" xfId="0" applyFont="1" applyFill="1" applyBorder="1" applyAlignment="1">
      <alignment vertical="center"/>
    </xf>
    <xf numFmtId="0" fontId="4" fillId="6" borderId="32" xfId="0" applyFont="1" applyFill="1" applyBorder="1" applyAlignment="1">
      <alignment horizontal="center" vertical="center"/>
    </xf>
    <xf numFmtId="44" fontId="1" fillId="0" borderId="31" xfId="2" applyFont="1" applyBorder="1" applyAlignment="1">
      <alignment vertical="center"/>
    </xf>
    <xf numFmtId="14" fontId="37" fillId="0" borderId="1" xfId="0" applyNumberFormat="1" applyFont="1" applyBorder="1" applyAlignment="1">
      <alignment vertical="center"/>
    </xf>
    <xf numFmtId="14" fontId="38" fillId="0" borderId="1" xfId="0" applyNumberFormat="1" applyFont="1" applyBorder="1" applyAlignment="1">
      <alignment vertical="center"/>
    </xf>
    <xf numFmtId="0" fontId="39" fillId="0" borderId="1" xfId="0" applyFont="1" applyBorder="1" applyAlignment="1">
      <alignment vertical="center"/>
    </xf>
    <xf numFmtId="0" fontId="0" fillId="0" borderId="21" xfId="0" applyBorder="1" applyAlignment="1">
      <alignment vertical="center"/>
    </xf>
    <xf numFmtId="44" fontId="1" fillId="0" borderId="33" xfId="2" applyFont="1" applyBorder="1" applyAlignment="1">
      <alignment vertical="center"/>
    </xf>
    <xf numFmtId="44" fontId="1" fillId="0" borderId="21" xfId="2" applyFont="1" applyBorder="1" applyAlignment="1">
      <alignment vertical="center"/>
    </xf>
    <xf numFmtId="44" fontId="1" fillId="8" borderId="1" xfId="2" applyFont="1" applyFill="1" applyBorder="1" applyAlignment="1">
      <alignment vertical="center"/>
    </xf>
    <xf numFmtId="44" fontId="1" fillId="8" borderId="0" xfId="2" applyFont="1" applyFill="1" applyAlignment="1">
      <alignment vertical="center"/>
    </xf>
    <xf numFmtId="44" fontId="0" fillId="8" borderId="0" xfId="2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44" fontId="0" fillId="0" borderId="1" xfId="2" applyFont="1" applyFill="1" applyBorder="1" applyAlignment="1">
      <alignment vertical="center"/>
    </xf>
    <xf numFmtId="44" fontId="0" fillId="8" borderId="1" xfId="2" applyFont="1" applyFill="1" applyBorder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44" fontId="6" fillId="0" borderId="4" xfId="2" applyFont="1" applyBorder="1" applyAlignment="1">
      <alignment horizontal="center" vertical="center"/>
    </xf>
    <xf numFmtId="44" fontId="40" fillId="0" borderId="0" xfId="2" applyFont="1" applyAlignment="1">
      <alignment vertical="center" wrapText="1"/>
    </xf>
    <xf numFmtId="44" fontId="41" fillId="0" borderId="0" xfId="2" applyFont="1" applyAlignment="1">
      <alignment vertical="center" wrapText="1"/>
    </xf>
    <xf numFmtId="14" fontId="39" fillId="0" borderId="1" xfId="0" applyNumberFormat="1" applyFont="1" applyBorder="1" applyAlignment="1">
      <alignment vertical="center"/>
    </xf>
    <xf numFmtId="44" fontId="0" fillId="0" borderId="0" xfId="0" applyNumberFormat="1" applyAlignment="1">
      <alignment vertical="center"/>
    </xf>
    <xf numFmtId="44" fontId="0" fillId="0" borderId="1" xfId="0" applyNumberFormat="1" applyBorder="1" applyAlignment="1">
      <alignment vertical="center"/>
    </xf>
    <xf numFmtId="14" fontId="37" fillId="0" borderId="0" xfId="0" applyNumberFormat="1" applyFont="1" applyAlignment="1">
      <alignment vertical="center"/>
    </xf>
    <xf numFmtId="14" fontId="38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7" fillId="0" borderId="0" xfId="0" applyNumberFormat="1" applyFont="1" applyAlignment="1">
      <alignment horizontal="left" vertical="center"/>
    </xf>
    <xf numFmtId="44" fontId="1" fillId="2" borderId="0" xfId="2" applyFont="1" applyFill="1" applyAlignment="1">
      <alignment vertical="center"/>
    </xf>
    <xf numFmtId="9" fontId="14" fillId="0" borderId="2" xfId="1" applyFont="1" applyFill="1" applyBorder="1" applyAlignment="1">
      <alignment horizontal="center" vertical="center"/>
    </xf>
    <xf numFmtId="164" fontId="32" fillId="3" borderId="2" xfId="0" applyNumberFormat="1" applyFont="1" applyFill="1" applyBorder="1" applyAlignment="1">
      <alignment horizontal="center" vertical="center"/>
    </xf>
    <xf numFmtId="44" fontId="14" fillId="0" borderId="2" xfId="2" applyFont="1" applyFill="1" applyBorder="1" applyAlignment="1">
      <alignment horizontal="center" vertical="center"/>
    </xf>
    <xf numFmtId="44" fontId="14" fillId="0" borderId="8" xfId="0" applyNumberFormat="1" applyFont="1" applyBorder="1" applyAlignment="1">
      <alignment horizontal="center" vertical="center"/>
    </xf>
    <xf numFmtId="44" fontId="14" fillId="0" borderId="9" xfId="0" applyNumberFormat="1" applyFont="1" applyBorder="1" applyAlignment="1">
      <alignment horizontal="center" vertical="center"/>
    </xf>
    <xf numFmtId="44" fontId="14" fillId="0" borderId="18" xfId="0" applyNumberFormat="1" applyFont="1" applyBorder="1" applyAlignment="1">
      <alignment horizontal="center" vertical="center"/>
    </xf>
    <xf numFmtId="44" fontId="14" fillId="0" borderId="7" xfId="0" applyNumberFormat="1" applyFont="1" applyBorder="1" applyAlignment="1">
      <alignment horizontal="center" vertical="center"/>
    </xf>
    <xf numFmtId="44" fontId="14" fillId="0" borderId="10" xfId="0" applyNumberFormat="1" applyFont="1" applyBorder="1" applyAlignment="1">
      <alignment horizontal="center" vertical="center"/>
    </xf>
    <xf numFmtId="44" fontId="14" fillId="0" borderId="19" xfId="0" applyNumberFormat="1" applyFont="1" applyBorder="1" applyAlignment="1">
      <alignment horizontal="center" vertical="center"/>
    </xf>
    <xf numFmtId="44" fontId="13" fillId="0" borderId="1" xfId="0" applyNumberFormat="1" applyFont="1" applyBorder="1" applyAlignment="1">
      <alignment horizontal="center" vertical="center"/>
    </xf>
    <xf numFmtId="44" fontId="27" fillId="0" borderId="10" xfId="2" applyFont="1" applyFill="1" applyBorder="1" applyAlignment="1">
      <alignment horizontal="center" vertical="center"/>
    </xf>
    <xf numFmtId="44" fontId="24" fillId="3" borderId="11" xfId="0" applyNumberFormat="1" applyFont="1" applyFill="1" applyBorder="1" applyAlignment="1">
      <alignment horizontal="center" vertical="center"/>
    </xf>
    <xf numFmtId="44" fontId="24" fillId="3" borderId="12" xfId="0" applyNumberFormat="1" applyFont="1" applyFill="1" applyBorder="1" applyAlignment="1">
      <alignment horizontal="center" vertical="center"/>
    </xf>
    <xf numFmtId="0" fontId="22" fillId="0" borderId="8" xfId="3" applyFont="1" applyBorder="1" applyAlignment="1">
      <alignment horizontal="center" vertical="center"/>
    </xf>
    <xf numFmtId="0" fontId="22" fillId="0" borderId="9" xfId="3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/>
    </xf>
    <xf numFmtId="164" fontId="32" fillId="0" borderId="9" xfId="0" applyNumberFormat="1" applyFont="1" applyBorder="1" applyAlignment="1">
      <alignment horizontal="center" vertical="center"/>
    </xf>
    <xf numFmtId="0" fontId="32" fillId="3" borderId="2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164" fontId="26" fillId="3" borderId="12" xfId="0" applyNumberFormat="1" applyFont="1" applyFill="1" applyBorder="1" applyAlignment="1">
      <alignment horizontal="center" vertical="center"/>
    </xf>
    <xf numFmtId="164" fontId="26" fillId="3" borderId="3" xfId="0" applyNumberFormat="1" applyFont="1" applyFill="1" applyBorder="1" applyAlignment="1">
      <alignment horizontal="center" vertical="center"/>
    </xf>
    <xf numFmtId="0" fontId="26" fillId="3" borderId="3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44" fontId="28" fillId="0" borderId="9" xfId="2" applyFont="1" applyFill="1" applyBorder="1" applyAlignment="1">
      <alignment horizontal="center" vertical="center"/>
    </xf>
    <xf numFmtId="44" fontId="27" fillId="0" borderId="1" xfId="2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44" fontId="4" fillId="4" borderId="1" xfId="0" applyNumberFormat="1" applyFont="1" applyFill="1" applyBorder="1" applyAlignment="1">
      <alignment horizontal="center" vertical="center"/>
    </xf>
    <xf numFmtId="44" fontId="4" fillId="4" borderId="22" xfId="0" applyNumberFormat="1" applyFont="1" applyFill="1" applyBorder="1" applyAlignment="1">
      <alignment horizontal="center" vertical="center"/>
    </xf>
    <xf numFmtId="0" fontId="16" fillId="7" borderId="34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7" borderId="35" xfId="0" applyFont="1" applyFill="1" applyBorder="1" applyAlignment="1">
      <alignment horizontal="center" vertical="center"/>
    </xf>
    <xf numFmtId="0" fontId="16" fillId="7" borderId="25" xfId="0" applyFont="1" applyFill="1" applyBorder="1" applyAlignment="1">
      <alignment horizontal="center" vertical="center"/>
    </xf>
    <xf numFmtId="44" fontId="35" fillId="5" borderId="25" xfId="2" applyFont="1" applyFill="1" applyBorder="1" applyAlignment="1">
      <alignment horizontal="center" vertical="center"/>
    </xf>
    <xf numFmtId="44" fontId="35" fillId="5" borderId="27" xfId="2" applyFont="1" applyFill="1" applyBorder="1" applyAlignment="1">
      <alignment horizontal="center" vertical="center"/>
    </xf>
    <xf numFmtId="44" fontId="35" fillId="5" borderId="30" xfId="2" applyFont="1" applyFill="1" applyBorder="1" applyAlignment="1">
      <alignment horizontal="center" vertical="center"/>
    </xf>
    <xf numFmtId="44" fontId="35" fillId="5" borderId="29" xfId="2" applyFont="1" applyFill="1" applyBorder="1" applyAlignment="1">
      <alignment horizontal="center" vertical="center"/>
    </xf>
    <xf numFmtId="0" fontId="36" fillId="5" borderId="28" xfId="0" applyFont="1" applyFill="1" applyBorder="1" applyAlignment="1">
      <alignment horizontal="center" vertical="center"/>
    </xf>
    <xf numFmtId="0" fontId="36" fillId="5" borderId="30" xfId="0" applyFont="1" applyFill="1" applyBorder="1" applyAlignment="1">
      <alignment horizontal="center" vertical="center"/>
    </xf>
    <xf numFmtId="0" fontId="36" fillId="5" borderId="24" xfId="0" applyFont="1" applyFill="1" applyBorder="1" applyAlignment="1">
      <alignment horizontal="center" vertical="center"/>
    </xf>
    <xf numFmtId="0" fontId="36" fillId="5" borderId="25" xfId="0" applyFont="1" applyFill="1" applyBorder="1" applyAlignment="1">
      <alignment horizontal="center" vertical="center"/>
    </xf>
    <xf numFmtId="0" fontId="34" fillId="4" borderId="23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0" fillId="0" borderId="0" xfId="0"/>
    <xf numFmtId="0" fontId="39" fillId="0" borderId="1" xfId="0" applyFont="1" applyBorder="1" applyAlignment="1">
      <alignment horizontal="left" vertical="center"/>
    </xf>
    <xf numFmtId="0" fontId="4" fillId="6" borderId="29" xfId="0" applyFont="1" applyFill="1" applyBorder="1" applyAlignment="1">
      <alignment horizontal="left" vertical="center"/>
    </xf>
    <xf numFmtId="14" fontId="38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0" xfId="0" applyNumberFormat="1" applyAlignment="1">
      <alignment horizontal="left"/>
    </xf>
  </cellXfs>
  <cellStyles count="6">
    <cellStyle name="Moeda" xfId="2" builtinId="4"/>
    <cellStyle name="Moeda 2" xfId="5" xr:uid="{59F43F38-7D2F-4ACF-B578-D080CD5117F1}"/>
    <cellStyle name="Normal" xfId="0" builtinId="0"/>
    <cellStyle name="Normal 2" xfId="3" xr:uid="{178CD387-E1D6-457D-A58E-F29E0B001D0E}"/>
    <cellStyle name="Porcentagem" xfId="1" builtinId="5"/>
    <cellStyle name="Porcentagem 2" xfId="4" xr:uid="{B5D98771-8920-487B-BE00-1A5D9A7B47C4}"/>
  </cellStyles>
  <dxfs count="0"/>
  <tableStyles count="0" defaultTableStyle="TableStyleMedium2" defaultPivotStyle="PivotStyleLight16"/>
  <colors>
    <mruColors>
      <color rgb="FFD6C3E6"/>
      <color rgb="FFF3E6E6"/>
      <color rgb="FFE3EEE8"/>
      <color rgb="FFBBDBBB"/>
      <color rgb="FF2E7D32"/>
      <color rgb="FFEAF4EA"/>
      <color rgb="FF421C5E"/>
      <color rgb="FF5A1F8F"/>
      <color rgb="FFE6DDF2"/>
      <color rgb="FFB58B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VARIAÇÃO DE 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1626622669550533E-2"/>
          <c:y val="0.16712962962962963"/>
          <c:w val="0.9452287235480451"/>
          <c:h val="0.57283974919801695"/>
        </c:manualLayout>
      </c:layout>
      <c:lineChart>
        <c:grouping val="standard"/>
        <c:varyColors val="0"/>
        <c:ser>
          <c:idx val="0"/>
          <c:order val="0"/>
          <c:tx>
            <c:strRef>
              <c:f>ANÁLISE!$B$1</c:f>
              <c:strCache>
                <c:ptCount val="1"/>
                <c:pt idx="0">
                  <c:v>RECEITA</c:v>
                </c:pt>
              </c:strCache>
            </c:strRef>
          </c:tx>
          <c:spPr>
            <a:ln w="28575" cap="rnd">
              <a:solidFill>
                <a:srgbClr val="0BFD4A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476289382554543E-2"/>
                  <c:y val="5.27779860850726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AB-4553-95A8-14FD6C85308E}"/>
                </c:ext>
              </c:extLst>
            </c:dLbl>
            <c:dLbl>
              <c:idx val="1"/>
              <c:layout>
                <c:manualLayout>
                  <c:x val="-0.16411569773062165"/>
                  <c:y val="-3.12002666333374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43C-47D6-BE12-766AA1EF8D3E}"/>
                </c:ext>
              </c:extLst>
            </c:dLbl>
            <c:dLbl>
              <c:idx val="2"/>
              <c:layout>
                <c:manualLayout>
                  <c:x val="-0.1104283531806441"/>
                  <c:y val="-0.1641532308461442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AB-4553-95A8-14FD6C85308E}"/>
                </c:ext>
              </c:extLst>
            </c:dLbl>
            <c:dLbl>
              <c:idx val="3"/>
              <c:layout>
                <c:manualLayout>
                  <c:x val="-0.13065820012702523"/>
                  <c:y val="6.8651001958088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AB-4553-95A8-14FD6C85308E}"/>
                </c:ext>
              </c:extLst>
            </c:dLbl>
            <c:dLbl>
              <c:idx val="5"/>
              <c:layout>
                <c:manualLayout>
                  <c:x val="-8.0138363721575276E-2"/>
                  <c:y val="5.08103674540682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43C-47D6-BE12-766AA1EF8D3E}"/>
                </c:ext>
              </c:extLst>
            </c:dLbl>
            <c:dLbl>
              <c:idx val="7"/>
              <c:layout>
                <c:manualLayout>
                  <c:x val="-5.5064988790637169E-2"/>
                  <c:y val="3.22918489355497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3C-47D6-BE12-766AA1EF8D3E}"/>
                </c:ext>
              </c:extLst>
            </c:dLbl>
            <c:dLbl>
              <c:idx val="8"/>
              <c:layout>
                <c:manualLayout>
                  <c:x val="4.0037330591660966E-2"/>
                  <c:y val="0.129514227388243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3C-47D6-BE12-766AA1EF8D3E}"/>
                </c:ext>
              </c:extLst>
            </c:dLbl>
            <c:dLbl>
              <c:idx val="9"/>
              <c:layout>
                <c:manualLayout>
                  <c:x val="-0.11918437355165536"/>
                  <c:y val="-0.1535712202641336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AB-4553-95A8-14FD6C85308E}"/>
                </c:ext>
              </c:extLst>
            </c:dLbl>
            <c:dLbl>
              <c:idx val="10"/>
              <c:layout>
                <c:manualLayout>
                  <c:x val="-4.1400638017044181E-4"/>
                  <c:y val="7.85880931550222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3C-47D6-BE12-766AA1EF8D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ANÁLISE!$A$2:$A$13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ANÁLISE!$B$2:$B$13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7852.18</c:v>
                </c:pt>
                <c:pt idx="5">
                  <c:v>2335.81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C-47D6-BE12-766AA1EF8D3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9564879"/>
        <c:axId val="1509566799"/>
      </c:lineChart>
      <c:catAx>
        <c:axId val="1509564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9566799"/>
        <c:crosses val="autoZero"/>
        <c:auto val="1"/>
        <c:lblAlgn val="ctr"/>
        <c:lblOffset val="100"/>
        <c:noMultiLvlLbl val="0"/>
      </c:catAx>
      <c:valAx>
        <c:axId val="150956679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50956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7030A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bg1"/>
                </a:solidFill>
              </a:rPr>
              <a:t>VARIAÇÃO DE 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ANÁLISE!$B$16</c:f>
              <c:strCache>
                <c:ptCount val="1"/>
                <c:pt idx="0">
                  <c:v>DESPESAS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5457469410803108E-2"/>
                  <c:y val="3.30687830687830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0F-4F5A-B420-6354000013A2}"/>
                </c:ext>
              </c:extLst>
            </c:dLbl>
            <c:dLbl>
              <c:idx val="2"/>
              <c:layout>
                <c:manualLayout>
                  <c:x val="-3.2040484574457614E-2"/>
                  <c:y val="-9.92063492063492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0F-4F5A-B420-6354000013A2}"/>
                </c:ext>
              </c:extLst>
            </c:dLbl>
            <c:dLbl>
              <c:idx val="3"/>
              <c:layout>
                <c:manualLayout>
                  <c:x val="-0.14967385575953884"/>
                  <c:y val="3.69049702120568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A5A-4AE2-8870-ED274A4996D6}"/>
                </c:ext>
              </c:extLst>
            </c:dLbl>
            <c:dLbl>
              <c:idx val="4"/>
              <c:layout>
                <c:manualLayout>
                  <c:x val="-0.12196386776382671"/>
                  <c:y val="-0.12566137566137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F0F-4F5A-B420-6354000013A2}"/>
                </c:ext>
              </c:extLst>
            </c:dLbl>
            <c:dLbl>
              <c:idx val="5"/>
              <c:layout>
                <c:manualLayout>
                  <c:x val="-4.5326974385571907E-2"/>
                  <c:y val="-6.74603174603174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F0F-4F5A-B420-6354000013A2}"/>
                </c:ext>
              </c:extLst>
            </c:dLbl>
            <c:dLbl>
              <c:idx val="6"/>
              <c:layout>
                <c:manualLayout>
                  <c:x val="-0.14649071138994815"/>
                  <c:y val="3.3068783068782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0F-4F5A-B420-6354000013A2}"/>
                </c:ext>
              </c:extLst>
            </c:dLbl>
            <c:dLbl>
              <c:idx val="8"/>
              <c:layout>
                <c:manualLayout>
                  <c:x val="-9.8718946693437143E-2"/>
                  <c:y val="4.36507936507935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0F-4F5A-B420-6354000013A2}"/>
                </c:ext>
              </c:extLst>
            </c:dLbl>
            <c:dLbl>
              <c:idx val="10"/>
              <c:layout>
                <c:manualLayout>
                  <c:x val="-8.7179598380849165E-3"/>
                  <c:y val="3.3068783068782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F0F-4F5A-B420-6354000013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ANÁLISE!$A$17:$A$28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ANÁLISE!$B$17:$B$28</c:f>
              <c:numCache>
                <c:formatCode>_-"R$"\ * #,##0.00_-;\-"R$"\ * #,##0.00_-;_-"R$"\ * "-"??_-;_-@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-7128.06</c:v>
                </c:pt>
                <c:pt idx="5">
                  <c:v>-2529.6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0F-4F5A-B420-6354000013A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54850863"/>
        <c:axId val="1096378303"/>
      </c:lineChart>
      <c:catAx>
        <c:axId val="12548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6378303"/>
        <c:crosses val="autoZero"/>
        <c:auto val="1"/>
        <c:lblAlgn val="ctr"/>
        <c:lblOffset val="100"/>
        <c:noMultiLvlLbl val="0"/>
      </c:catAx>
      <c:valAx>
        <c:axId val="1096378303"/>
        <c:scaling>
          <c:orientation val="minMax"/>
        </c:scaling>
        <c:delete val="1"/>
        <c:axPos val="l"/>
        <c:numFmt formatCode="_-&quot;R$&quot;\ * #,##0.00_-;\-&quot;R$&quot;\ * #,##0.00_-;_-&quot;R$&quot;\ * &quot;-&quot;??_-;_-@" sourceLinked="1"/>
        <c:majorTickMark val="none"/>
        <c:minorTickMark val="none"/>
        <c:tickLblPos val="nextTo"/>
        <c:crossAx val="1254850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7030A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bg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180975</xdr:rowOff>
    </xdr:from>
    <xdr:to>
      <xdr:col>10</xdr:col>
      <xdr:colOff>283265</xdr:colOff>
      <xdr:row>6</xdr:row>
      <xdr:rowOff>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7649C82A-FCA6-8A89-AB72-F2A973379E03}"/>
            </a:ext>
          </a:extLst>
        </xdr:cNvPr>
        <xdr:cNvSpPr txBox="1"/>
      </xdr:nvSpPr>
      <xdr:spPr>
        <a:xfrm>
          <a:off x="2819400" y="504825"/>
          <a:ext cx="4864790" cy="561975"/>
        </a:xfrm>
        <a:custGeom>
          <a:avLst/>
          <a:gdLst>
            <a:gd name="csX0" fmla="*/ 0 w 4885765"/>
            <a:gd name="csY0" fmla="*/ 0 h 560294"/>
            <a:gd name="csX1" fmla="*/ 4885765 w 4885765"/>
            <a:gd name="csY1" fmla="*/ 0 h 560294"/>
            <a:gd name="csX2" fmla="*/ 4885765 w 4885765"/>
            <a:gd name="csY2" fmla="*/ 560294 h 560294"/>
            <a:gd name="csX3" fmla="*/ 0 w 4885765"/>
            <a:gd name="csY3" fmla="*/ 560294 h 560294"/>
            <a:gd name="csX4" fmla="*/ 0 w 4885765"/>
            <a:gd name="csY4" fmla="*/ 0 h 560294"/>
            <a:gd name="csX0" fmla="*/ 0 w 4885765"/>
            <a:gd name="csY0" fmla="*/ 0 h 560294"/>
            <a:gd name="csX1" fmla="*/ 4885765 w 4885765"/>
            <a:gd name="csY1" fmla="*/ 0 h 560294"/>
            <a:gd name="csX2" fmla="*/ 4885765 w 4885765"/>
            <a:gd name="csY2" fmla="*/ 560294 h 560294"/>
            <a:gd name="csX3" fmla="*/ 0 w 4885765"/>
            <a:gd name="csY3" fmla="*/ 560294 h 560294"/>
            <a:gd name="csX4" fmla="*/ 0 w 4885765"/>
            <a:gd name="csY4" fmla="*/ 0 h 56029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885765" h="560294">
              <a:moveTo>
                <a:pt x="0" y="0"/>
              </a:moveTo>
              <a:lnTo>
                <a:pt x="4885765" y="0"/>
              </a:lnTo>
              <a:lnTo>
                <a:pt x="4885765" y="560294"/>
              </a:lnTo>
              <a:lnTo>
                <a:pt x="0" y="560294"/>
              </a:lnTo>
              <a:lnTo>
                <a:pt x="0" y="0"/>
              </a:lnTo>
              <a:close/>
            </a:path>
          </a:pathLst>
        </a:cu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>
              <a:solidFill>
                <a:schemeClr val="bg1"/>
              </a:solidFill>
            </a:rPr>
            <a:t>CONTROLE DE CAIXA</a:t>
          </a:r>
        </a:p>
      </xdr:txBody>
    </xdr:sp>
    <xdr:clientData/>
  </xdr:twoCellAnchor>
  <xdr:twoCellAnchor>
    <xdr:from>
      <xdr:col>3</xdr:col>
      <xdr:colOff>542925</xdr:colOff>
      <xdr:row>5</xdr:row>
      <xdr:rowOff>0</xdr:rowOff>
    </xdr:from>
    <xdr:to>
      <xdr:col>6</xdr:col>
      <xdr:colOff>461562</xdr:colOff>
      <xdr:row>7</xdr:row>
      <xdr:rowOff>190499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B84C815B-11FE-4A7C-B784-EDD2A321703E}"/>
            </a:ext>
          </a:extLst>
        </xdr:cNvPr>
        <xdr:cNvSpPr txBox="1"/>
      </xdr:nvSpPr>
      <xdr:spPr>
        <a:xfrm>
          <a:off x="3362325" y="885825"/>
          <a:ext cx="3528612" cy="561974"/>
        </a:xfrm>
        <a:custGeom>
          <a:avLst/>
          <a:gdLst>
            <a:gd name="csX0" fmla="*/ 0 w 4885765"/>
            <a:gd name="csY0" fmla="*/ 0 h 560294"/>
            <a:gd name="csX1" fmla="*/ 4885765 w 4885765"/>
            <a:gd name="csY1" fmla="*/ 0 h 560294"/>
            <a:gd name="csX2" fmla="*/ 4885765 w 4885765"/>
            <a:gd name="csY2" fmla="*/ 560294 h 560294"/>
            <a:gd name="csX3" fmla="*/ 0 w 4885765"/>
            <a:gd name="csY3" fmla="*/ 560294 h 560294"/>
            <a:gd name="csX4" fmla="*/ 0 w 4885765"/>
            <a:gd name="csY4" fmla="*/ 0 h 560294"/>
            <a:gd name="csX0" fmla="*/ 0 w 4885765"/>
            <a:gd name="csY0" fmla="*/ 0 h 560294"/>
            <a:gd name="csX1" fmla="*/ 4885765 w 4885765"/>
            <a:gd name="csY1" fmla="*/ 0 h 560294"/>
            <a:gd name="csX2" fmla="*/ 4885765 w 4885765"/>
            <a:gd name="csY2" fmla="*/ 560294 h 560294"/>
            <a:gd name="csX3" fmla="*/ 0 w 4885765"/>
            <a:gd name="csY3" fmla="*/ 560294 h 560294"/>
            <a:gd name="csX4" fmla="*/ 0 w 4885765"/>
            <a:gd name="csY4" fmla="*/ 0 h 56029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885765" h="560294">
              <a:moveTo>
                <a:pt x="0" y="0"/>
              </a:moveTo>
              <a:lnTo>
                <a:pt x="4885765" y="0"/>
              </a:lnTo>
              <a:lnTo>
                <a:pt x="4885765" y="560294"/>
              </a:lnTo>
              <a:lnTo>
                <a:pt x="0" y="560294"/>
              </a:lnTo>
              <a:lnTo>
                <a:pt x="0" y="0"/>
              </a:lnTo>
              <a:close/>
            </a:path>
          </a:pathLst>
        </a:cu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>
              <a:solidFill>
                <a:schemeClr val="bg1"/>
              </a:solidFill>
            </a:rPr>
            <a:t>Visão Gerencial • CGT</a:t>
          </a: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4</xdr:col>
      <xdr:colOff>265043</xdr:colOff>
      <xdr:row>35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5CA3C7-A13F-4408-92BA-624A73B99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376444</xdr:colOff>
      <xdr:row>21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23D1AE3-526F-4357-9DD0-683EB954E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280306</xdr:colOff>
      <xdr:row>1</xdr:row>
      <xdr:rowOff>81641</xdr:rowOff>
    </xdr:from>
    <xdr:to>
      <xdr:col>2</xdr:col>
      <xdr:colOff>346363</xdr:colOff>
      <xdr:row>8</xdr:row>
      <xdr:rowOff>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A8E8CA47-8794-241A-90D8-5328132E3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488" y="237505"/>
          <a:ext cx="1780557" cy="11825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4"/>
  <sheetViews>
    <sheetView showGridLines="0" workbookViewId="0">
      <selection activeCell="A25" sqref="A25"/>
    </sheetView>
  </sheetViews>
  <sheetFormatPr defaultColWidth="12.6640625" defaultRowHeight="15" customHeight="1"/>
  <cols>
    <col min="1" max="1" width="21.6640625" bestFit="1" customWidth="1"/>
    <col min="2" max="2" width="18" bestFit="1" customWidth="1"/>
    <col min="3" max="26" width="9.109375" customWidth="1"/>
  </cols>
  <sheetData>
    <row r="1" spans="1:2" ht="15" customHeight="1">
      <c r="A1" s="4" t="s">
        <v>41</v>
      </c>
      <c r="B1" s="4" t="s">
        <v>40</v>
      </c>
    </row>
    <row r="2" spans="1:2" ht="12.75" customHeight="1">
      <c r="A2" s="1" t="s">
        <v>61</v>
      </c>
      <c r="B2" s="1" t="s">
        <v>34</v>
      </c>
    </row>
    <row r="3" spans="1:2" ht="12.75" customHeight="1">
      <c r="A3" s="1" t="s">
        <v>0</v>
      </c>
      <c r="B3" s="1" t="s">
        <v>36</v>
      </c>
    </row>
    <row r="4" spans="1:2" ht="12.75" customHeight="1">
      <c r="A4" s="1" t="s">
        <v>1</v>
      </c>
      <c r="B4" s="1" t="s">
        <v>36</v>
      </c>
    </row>
    <row r="5" spans="1:2" ht="12.75" customHeight="1">
      <c r="A5" s="1" t="s">
        <v>2</v>
      </c>
      <c r="B5" s="1" t="s">
        <v>37</v>
      </c>
    </row>
    <row r="6" spans="1:2" ht="12.75" customHeight="1">
      <c r="A6" s="1" t="s">
        <v>62</v>
      </c>
      <c r="B6" s="1" t="s">
        <v>36</v>
      </c>
    </row>
    <row r="7" spans="1:2" ht="12.75" customHeight="1">
      <c r="A7" s="1" t="s">
        <v>3</v>
      </c>
      <c r="B7" s="1" t="s">
        <v>36</v>
      </c>
    </row>
    <row r="8" spans="1:2" ht="12.75" customHeight="1">
      <c r="A8" s="1" t="s">
        <v>4</v>
      </c>
      <c r="B8" s="1" t="s">
        <v>37</v>
      </c>
    </row>
    <row r="9" spans="1:2" ht="12.75" customHeight="1">
      <c r="A9" s="1" t="s">
        <v>5</v>
      </c>
      <c r="B9" s="1" t="s">
        <v>36</v>
      </c>
    </row>
    <row r="10" spans="1:2" ht="12.75" customHeight="1">
      <c r="A10" s="1" t="s">
        <v>6</v>
      </c>
      <c r="B10" s="1" t="s">
        <v>38</v>
      </c>
    </row>
    <row r="11" spans="1:2" ht="12.75" customHeight="1">
      <c r="A11" s="1" t="s">
        <v>7</v>
      </c>
      <c r="B11" s="1" t="s">
        <v>36</v>
      </c>
    </row>
    <row r="12" spans="1:2" ht="12.75" customHeight="1">
      <c r="A12" s="1" t="s">
        <v>8</v>
      </c>
      <c r="B12" s="1" t="s">
        <v>43</v>
      </c>
    </row>
    <row r="13" spans="1:2" ht="12.75" customHeight="1">
      <c r="A13" s="1" t="s">
        <v>9</v>
      </c>
      <c r="B13" s="1" t="s">
        <v>37</v>
      </c>
    </row>
    <row r="14" spans="1:2" ht="12.75" customHeight="1">
      <c r="A14" s="1" t="s">
        <v>10</v>
      </c>
      <c r="B14" s="1" t="s">
        <v>38</v>
      </c>
    </row>
    <row r="15" spans="1:2" ht="12.75" customHeight="1">
      <c r="A15" s="1" t="s">
        <v>11</v>
      </c>
      <c r="B15" s="1" t="s">
        <v>36</v>
      </c>
    </row>
    <row r="16" spans="1:2" ht="12.75" customHeight="1">
      <c r="A16" s="1" t="s">
        <v>12</v>
      </c>
      <c r="B16" s="1" t="s">
        <v>43</v>
      </c>
    </row>
    <row r="17" spans="1:2" ht="12.75" customHeight="1">
      <c r="A17" s="1" t="s">
        <v>13</v>
      </c>
      <c r="B17" s="1" t="s">
        <v>37</v>
      </c>
    </row>
    <row r="18" spans="1:2" ht="12.75" customHeight="1">
      <c r="A18" s="1" t="s">
        <v>14</v>
      </c>
      <c r="B18" s="1" t="s">
        <v>36</v>
      </c>
    </row>
    <row r="19" spans="1:2" ht="12.75" customHeight="1">
      <c r="A19" s="1" t="s">
        <v>15</v>
      </c>
      <c r="B19" s="1" t="s">
        <v>36</v>
      </c>
    </row>
    <row r="20" spans="1:2" ht="12.75" customHeight="1">
      <c r="A20" s="1" t="s">
        <v>16</v>
      </c>
      <c r="B20" s="1" t="s">
        <v>36</v>
      </c>
    </row>
    <row r="21" spans="1:2" ht="12.75" customHeight="1">
      <c r="A21" s="1" t="s">
        <v>56</v>
      </c>
      <c r="B21" s="1" t="s">
        <v>37</v>
      </c>
    </row>
    <row r="22" spans="1:2" ht="12.75" customHeight="1">
      <c r="A22" s="1" t="s">
        <v>42</v>
      </c>
      <c r="B22" s="1" t="s">
        <v>37</v>
      </c>
    </row>
    <row r="23" spans="1:2" ht="12.75" customHeight="1">
      <c r="A23" s="1" t="s">
        <v>44</v>
      </c>
      <c r="B23" s="1" t="s">
        <v>38</v>
      </c>
    </row>
    <row r="24" spans="1:2" ht="12.75" customHeight="1">
      <c r="A24" s="1" t="s">
        <v>17</v>
      </c>
      <c r="B24" s="1" t="s">
        <v>37</v>
      </c>
    </row>
    <row r="25" spans="1:2" ht="12.75" customHeight="1">
      <c r="A25" s="1" t="s">
        <v>39</v>
      </c>
      <c r="B25" s="1" t="s">
        <v>37</v>
      </c>
    </row>
    <row r="26" spans="1:2" ht="12.75" customHeight="1">
      <c r="A26" s="1" t="s">
        <v>57</v>
      </c>
      <c r="B26" s="1" t="s">
        <v>36</v>
      </c>
    </row>
    <row r="27" spans="1:2" ht="12.75" customHeight="1">
      <c r="A27" s="1" t="s">
        <v>58</v>
      </c>
      <c r="B27" s="1" t="s">
        <v>36</v>
      </c>
    </row>
    <row r="28" spans="1:2" ht="12.75" customHeight="1">
      <c r="A28" s="1" t="s">
        <v>59</v>
      </c>
      <c r="B28" s="1" t="s">
        <v>36</v>
      </c>
    </row>
    <row r="29" spans="1:2" ht="12.75" customHeight="1">
      <c r="A29" s="1" t="s">
        <v>60</v>
      </c>
      <c r="B29" s="1" t="s">
        <v>36</v>
      </c>
    </row>
    <row r="30" spans="1:2" ht="12.75" customHeight="1">
      <c r="A30" s="1" t="s">
        <v>63</v>
      </c>
      <c r="B30" s="1" t="s">
        <v>36</v>
      </c>
    </row>
    <row r="31" spans="1:2" ht="12.75" customHeight="1">
      <c r="A31" s="1" t="s">
        <v>64</v>
      </c>
      <c r="B31" s="1" t="s">
        <v>43</v>
      </c>
    </row>
    <row r="32" spans="1:2" ht="12.75" customHeight="1">
      <c r="A32" s="1" t="s">
        <v>65</v>
      </c>
      <c r="B32" s="1" t="s">
        <v>43</v>
      </c>
    </row>
    <row r="33" spans="1:2" ht="12.75" customHeight="1">
      <c r="A33" s="1" t="s">
        <v>66</v>
      </c>
      <c r="B33" s="1" t="s">
        <v>36</v>
      </c>
    </row>
    <row r="34" spans="1:2" ht="12.75" customHeight="1">
      <c r="A34" s="1" t="s">
        <v>67</v>
      </c>
      <c r="B34" s="1" t="s">
        <v>38</v>
      </c>
    </row>
    <row r="35" spans="1:2" ht="12.75" customHeight="1">
      <c r="A35" s="1" t="s">
        <v>68</v>
      </c>
      <c r="B35" s="1" t="s">
        <v>43</v>
      </c>
    </row>
    <row r="36" spans="1:2" ht="12.75" customHeight="1">
      <c r="A36" s="1" t="s">
        <v>69</v>
      </c>
      <c r="B36" s="1" t="s">
        <v>37</v>
      </c>
    </row>
    <row r="37" spans="1:2" ht="12.75" customHeight="1">
      <c r="A37" s="1" t="s">
        <v>70</v>
      </c>
      <c r="B37" s="1" t="s">
        <v>36</v>
      </c>
    </row>
    <row r="38" spans="1:2" ht="12.75" customHeight="1">
      <c r="A38" s="1" t="s">
        <v>71</v>
      </c>
      <c r="B38" s="1" t="s">
        <v>36</v>
      </c>
    </row>
    <row r="39" spans="1:2" ht="12.75" customHeight="1">
      <c r="A39" s="1"/>
      <c r="B39" s="1"/>
    </row>
    <row r="40" spans="1:2" ht="12.75" customHeight="1">
      <c r="A40" s="1"/>
      <c r="B40" s="1"/>
    </row>
    <row r="41" spans="1:2" ht="12.75" customHeight="1"/>
    <row r="42" spans="1:2" ht="12.75" customHeight="1"/>
    <row r="43" spans="1:2" ht="12.75" customHeight="1"/>
    <row r="44" spans="1:2" ht="12.75" customHeight="1"/>
    <row r="45" spans="1:2" ht="12.75" customHeight="1"/>
    <row r="46" spans="1:2" ht="12.75" customHeight="1"/>
    <row r="47" spans="1:2" ht="12.75" customHeight="1"/>
    <row r="48" spans="1:2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6DC5-32B7-46B7-9F2D-08171D35D2BF}">
  <dimension ref="B2:AG1048569"/>
  <sheetViews>
    <sheetView showGridLines="0" topLeftCell="A2" zoomScale="70" zoomScaleNormal="70" workbookViewId="0">
      <selection activeCell="B20" sqref="B20:F20"/>
    </sheetView>
  </sheetViews>
  <sheetFormatPr defaultColWidth="12.6640625" defaultRowHeight="13.2"/>
  <cols>
    <col min="1" max="1" width="8.33203125" style="8" customWidth="1"/>
    <col min="2" max="2" width="25.6640625" style="8" bestFit="1" customWidth="1"/>
    <col min="3" max="3" width="8.33203125" style="8" customWidth="1"/>
    <col min="4" max="4" width="28.44140625" style="8" bestFit="1" customWidth="1"/>
    <col min="5" max="5" width="20" style="8" bestFit="1" customWidth="1"/>
    <col min="6" max="6" width="5.6640625" style="8" bestFit="1" customWidth="1"/>
    <col min="7" max="7" width="10.5546875" style="8" customWidth="1"/>
    <col min="8" max="8" width="0.6640625" style="8" customWidth="1"/>
    <col min="9" max="9" width="2.5546875" style="8" customWidth="1"/>
    <col min="10" max="10" width="0.6640625" style="8" customWidth="1"/>
    <col min="11" max="13" width="16.6640625" style="8" customWidth="1"/>
    <col min="14" max="14" width="0.6640625" style="8" customWidth="1"/>
    <col min="15" max="15" width="25.6640625" style="8" bestFit="1" customWidth="1"/>
    <col min="16" max="16" width="13.109375" style="8" customWidth="1"/>
    <col min="17" max="17" width="12.6640625" style="8"/>
    <col min="18" max="18" width="0.6640625" style="8" customWidth="1"/>
    <col min="19" max="19" width="25.6640625" style="8" bestFit="1" customWidth="1"/>
    <col min="20" max="21" width="12.6640625" style="8"/>
    <col min="22" max="22" width="0.6640625" style="8" customWidth="1"/>
    <col min="23" max="23" width="25.6640625" style="8" bestFit="1" customWidth="1"/>
    <col min="24" max="25" width="12.6640625" style="8"/>
    <col min="26" max="26" width="0.6640625" style="8" customWidth="1"/>
    <col min="27" max="27" width="25.6640625" style="8" bestFit="1" customWidth="1"/>
    <col min="28" max="29" width="12.6640625" style="8"/>
    <col min="30" max="30" width="0.6640625" style="8" customWidth="1"/>
    <col min="31" max="31" width="25.6640625" style="8" bestFit="1" customWidth="1"/>
    <col min="32" max="16384" width="12.6640625" style="8"/>
  </cols>
  <sheetData>
    <row r="2" spans="2:33">
      <c r="B2" s="43"/>
      <c r="C2" s="44"/>
      <c r="D2" s="44"/>
      <c r="E2" s="44"/>
      <c r="F2" s="44"/>
      <c r="G2" s="45"/>
      <c r="H2" s="52"/>
      <c r="I2" s="15"/>
      <c r="J2" s="52"/>
      <c r="K2" s="52"/>
      <c r="L2" s="15"/>
      <c r="M2" s="15"/>
    </row>
    <row r="3" spans="2:33" ht="15" customHeight="1">
      <c r="B3" s="46"/>
      <c r="C3" s="16"/>
      <c r="D3" s="14"/>
      <c r="E3" s="14"/>
      <c r="F3" s="14"/>
      <c r="G3" s="14"/>
      <c r="H3" s="53"/>
      <c r="I3" s="17"/>
      <c r="J3" s="52"/>
      <c r="K3" s="52"/>
      <c r="L3" s="15"/>
      <c r="M3" s="17"/>
      <c r="Q3" s="9"/>
      <c r="U3" s="9"/>
      <c r="Y3" s="9"/>
      <c r="AC3" s="9"/>
      <c r="AG3" s="9"/>
    </row>
    <row r="4" spans="2:33" ht="14.25" customHeight="1">
      <c r="B4" s="47"/>
      <c r="C4" s="17"/>
      <c r="D4" s="14"/>
      <c r="E4" s="14"/>
      <c r="F4" s="14"/>
      <c r="G4" s="14"/>
      <c r="H4" s="53"/>
      <c r="I4" s="54"/>
      <c r="J4" s="52"/>
      <c r="K4" s="52"/>
      <c r="L4" s="15"/>
      <c r="M4" s="54"/>
      <c r="Q4" s="10"/>
      <c r="U4" s="10"/>
      <c r="Y4" s="10"/>
      <c r="AC4" s="10"/>
      <c r="AG4" s="10"/>
    </row>
    <row r="5" spans="2:33" ht="15" customHeight="1">
      <c r="B5" s="48"/>
      <c r="C5" s="18"/>
      <c r="D5" s="14"/>
      <c r="E5" s="14"/>
      <c r="F5" s="14"/>
      <c r="G5" s="14"/>
      <c r="H5" s="53"/>
      <c r="I5" s="55"/>
      <c r="J5" s="52"/>
      <c r="K5" s="52"/>
      <c r="L5" s="15"/>
      <c r="M5" s="55"/>
      <c r="Q5" s="11"/>
      <c r="U5" s="11"/>
      <c r="Y5" s="11"/>
      <c r="AC5" s="11"/>
      <c r="AG5" s="11"/>
    </row>
    <row r="6" spans="2:33" ht="13.8">
      <c r="B6" s="48"/>
      <c r="C6" s="19"/>
      <c r="D6" s="20"/>
      <c r="E6" s="20"/>
      <c r="F6" s="15"/>
      <c r="G6" s="15"/>
      <c r="H6" s="52"/>
      <c r="I6" s="20"/>
      <c r="J6" s="52"/>
      <c r="K6" s="52"/>
      <c r="L6" s="15"/>
      <c r="M6" s="20"/>
      <c r="Q6" s="12"/>
      <c r="U6" s="12"/>
      <c r="Y6" s="12"/>
      <c r="AC6" s="12"/>
      <c r="AG6" s="12"/>
    </row>
    <row r="7" spans="2:33" ht="13.8">
      <c r="B7" s="49"/>
      <c r="C7" s="21"/>
      <c r="D7" s="22"/>
      <c r="E7" s="22"/>
      <c r="F7" s="15"/>
      <c r="G7" s="15"/>
      <c r="H7" s="52"/>
      <c r="I7" s="22"/>
      <c r="J7" s="52"/>
      <c r="K7" s="52"/>
      <c r="L7" s="15"/>
      <c r="M7" s="22"/>
      <c r="Q7" s="13"/>
      <c r="U7" s="13"/>
      <c r="Y7" s="13"/>
      <c r="AC7" s="12"/>
      <c r="AG7" s="12"/>
    </row>
    <row r="8" spans="2:33" ht="14.4">
      <c r="B8" s="48"/>
      <c r="C8" s="19"/>
      <c r="D8" s="38"/>
      <c r="E8" s="38"/>
      <c r="F8" s="38"/>
      <c r="G8" s="38"/>
      <c r="H8" s="52"/>
      <c r="I8" s="20"/>
      <c r="J8" s="52"/>
      <c r="K8" s="52"/>
      <c r="L8" s="15"/>
      <c r="M8" s="20"/>
      <c r="Q8" s="12"/>
      <c r="U8" s="12"/>
      <c r="Y8" s="12"/>
      <c r="AC8" s="12"/>
      <c r="AG8" s="12"/>
    </row>
    <row r="9" spans="2:33" ht="15.75" customHeight="1">
      <c r="B9" s="49"/>
      <c r="C9" s="21"/>
      <c r="D9" s="38"/>
      <c r="E9" s="38"/>
      <c r="F9" s="38"/>
      <c r="G9" s="38"/>
      <c r="H9" s="52"/>
      <c r="I9" s="22"/>
      <c r="J9" s="52"/>
      <c r="K9" s="52"/>
      <c r="L9" s="15"/>
      <c r="M9" s="22"/>
      <c r="Q9" s="13"/>
      <c r="U9" s="13"/>
      <c r="Y9" s="13"/>
      <c r="AC9" s="12"/>
      <c r="AG9" s="12"/>
    </row>
    <row r="10" spans="2:33">
      <c r="B10" s="50"/>
    </row>
    <row r="11" spans="2:33" s="23" customFormat="1" ht="21">
      <c r="B11" s="118" t="s">
        <v>118</v>
      </c>
      <c r="C11" s="118"/>
      <c r="D11" s="118"/>
      <c r="E11" s="125" t="s">
        <v>35</v>
      </c>
      <c r="F11" s="126"/>
      <c r="G11" s="37" t="s">
        <v>72</v>
      </c>
      <c r="I11" s="25"/>
      <c r="K11" s="102" t="s">
        <v>74</v>
      </c>
      <c r="L11" s="102"/>
      <c r="M11" s="102"/>
      <c r="Q11" s="25"/>
      <c r="U11" s="25"/>
      <c r="Y11" s="25"/>
      <c r="AC11" s="24"/>
      <c r="AG11" s="24"/>
    </row>
    <row r="12" spans="2:33" ht="17.399999999999999">
      <c r="B12" s="114" t="s">
        <v>20</v>
      </c>
      <c r="C12" s="115"/>
      <c r="D12" s="116"/>
      <c r="E12" s="130" cm="1">
        <f t="array" ref="E12">_xlfn.IFS(
$E$11="CONSOLIDADO",
SUMIF(JANEIRO!$E$13:$E$412,"RECEITA",JANEIRO!$F$13:$F$412)+
SUMIF(FEVEREIRO!$E$13:$E$412,"RECEITA",FEVEREIRO!$F$13:$F$412)+
SUMIF(MARÇO!$E$13:$E$412,"RECEITA",MARÇO!$F$13:$F$412)+
SUMIF(ABRIL!$E$13:$E$415,"RECEITA",ABRIL!$F$13:$F$415)+
SUMIF(MAIO!$E$13:$E$418,"RECEITA",MAIO!$F$13:$F$418)+
SUMIF(JUNHO!$E$13:$E$419,"RECEITA",JUNHO!$F$13:$F$419)+
SUMIF(JULHO!$E$13:$E$412,"RECEITA",JULHO!$F$13:$F$412)+
SUMIF(AGOSTO!$E$13:$E$412,"RECEITA",AGOSTO!$F$13:$F$412)+
SUMIF(SETEMBRO!$E$13:$E$412,"RECEITA",SETEMBRO!$F$13:$F$412)+
SUMIF(OUTUBRO!$E$13:$E$412,"RECEITA",OUTUBRO!$F$13:$F$412)+
SUMIF(NOVEMBRO!$E$13:$E$412,"RECEITA",NOVEMBRO!$F$13:$F$412)+
SUMIF(DEZEMBRO!$E$13:$E$412,"RECEITA",DEZEMBRO!$F$13:$F$412),
$E$11="JANEIRO",SUMIF(JANEIRO!$E$13:$E$412,"RECEITA",JANEIRO!$F$13:$F$412),
$E$11="FEVEREIRO",SUMIF(FEVEREIRO!$E$13:$E$412,"RECEITA",FEVEREIRO!$F$13:$F$412),
$E$11="MARÇO",SUMIF(MARÇO!$E$13:$E$412,"RECEITA",MARÇO!$F$13:$F$412),
$E$11="ABRIL",SUMIF(ABRIL!$E$13:$E$415,"RECEITA",ABRIL!$F$13:$F$415),
$E$11="MAIO",SUMIF(MAIO!$E$13:$E$418,"RECEITA",MAIO!$F$13:$F$418),
$E$11="JUNHO",SUMIF(JUNHO!$E$13:$E$419,"RECEITA",JUNHO!$F$13:$F$419),
$E$11="JULHO",SUMIF(JULHO!$E$13:$E$412,"RECEITA",JULHO!$F$13:$F$412),
$E$11="AGOSTO",SUMIF(AGOSTO!$E$13:$E$412,"RECEITA",AGOSTO!$F$13:$F$412),
$E$11="SETEMBRO",SUMIF(SETEMBRO!$E$13:$E$412,"RECEITA",SETEMBRO!$F$13:$F$412),
$E$11="OUTUBRO",SUMIF(OUTUBRO!$E$13:$E$412,"RECEITA",OUTUBRO!$F$13:$F$412),
$E$11="NOVEMBRO",SUMIF(NOVEMBRO!$E$13:$E$412,"RECEITA",NOVEMBRO!$F$13:$F$412),
$E$11="DEZEMBRO",SUMIF(DEZEMBRO!$E$13:$E$412,"RECEITA",DEZEMBRO!$F$13:$F$412)
)</f>
        <v>0</v>
      </c>
      <c r="F12" s="130"/>
      <c r="G12" s="39" t="e">
        <f t="shared" ref="G12:G20" si="0">E12/$E$12</f>
        <v>#DIV/0!</v>
      </c>
      <c r="K12" s="103" cm="1">
        <f t="array" ref="K12">_xlfn.IFS(
$E$11="CONSOLIDADO",
SUMIF(JANEIRO!$D$13:$D$412,"FORNECEDOR",JANEIRO!$G$13:$G$412)+
SUMIF(FEVEREIRO!$D$13:$D$412,"FORNECEDOR",FEVEREIRO!$G$13:$G$412)+
SUMIF(MARÇO!$D$13:$D$412,"FORNECEDOR",MARÇO!$G$13:$G$412)+
SUMIF(ABRIL!$D$13:$D$415,"FORNECEDOR",ABRIL!$G$13:$G$415)+
SUMIF(MAIO!$D$13:$D$418,"FORNECEDOR",MAIO!$G$13:$G$418)+
SUMIF(JUNHO!$D$13:$D$419,"FORNECEDOR",JUNHO!$G$13:$G$419)+
SUMIF(JULHO!$D$13:$D$412,"FORNECEDOR",JULHO!$G$13:$G$412)+
SUMIF(AGOSTO!$D$13:$D$412,"FORNECEDOR",AGOSTO!$G$13:$G$412)+
SUMIF(SETEMBRO!$D$13:$D$412,"FORNECEDOR",SETEMBRO!$G$13:$G$412)+
SUMIF(OUTUBRO!$D$13:$D$412,"FORNECEDOR",OUTUBRO!$G$13:$G$412)+
SUMIF(NOVEMBRO!$D$13:$D$412,"FORNECEDOR",NOVEMBRO!$G$13:$G$412)+
SUMIF(DEZEMBRO!$D$13:$D$412,"FORNECEDOR",DEZEMBRO!$G$13:$G$412),
$E$11="JANEIRO",SUMIF(JANEIRO!$D$13:$D$412,"FORNECEDOR",JANEIRO!$G$13:$G$412),
$E$11="FEVEREIRO",SUMIF(FEVEREIRO!$D$13:$D$412,"FORNECEDOR",FEVEREIRO!$G$13:$G$412),
$E$11="MARÇO",SUMIF(MARÇO!$D$13:$D$412,"FORNECEDOR",MARÇO!$G$13:$G$412),
$E$11="ABRIL",SUMIF(ABRIL!$D$13:$D$415,"FORNECEDOR",ABRIL!$G$13:$G$415),
$E$11="MAIO",SUMIF(MAIO!$D$13:$D$418,"FORNECEDOR",MAIO!$G$13:$G$418),
$E$11="JUNHO",SUMIF(JUNHO!$D$13:$D$419,"FORNECEDOR",JUNHO!$G$13:$G$419),
$E$11="JULHO",SUMIF(JULHO!$D$13:$D$412,"FORNECEDOR",JULHO!$G$13:$G$412),
$E$11="AGOSTO",SUMIF(AGOSTO!$D$13:$D$412,"FORNECEDOR",AGOSTO!$G$13:$G$412),
$E$11="SETEMBRO",SUMIF(SETEMBRO!$D$13:$D$412,"FORNECEDOR",SETEMBRO!$G$13:$G$412),
$E$11="OUTUBRO",SUMIF(OUTUBRO!$D$13:$D$412,"FORNECEDOR",OUTUBRO!$G$13:$G$412),
$E$11="NOVEMBRO",SUMIF(NOVEMBRO!$D$13:$D$412,"FORNECEDOR",NOVEMBRO!$G$13:$G$412),
$E$11="DEZEMBRO",SUMIF(DEZEMBRO!$D$13:$D$412,"FORNECEDOR",DEZEMBRO!$G$13:$G$412)
)</f>
        <v>0</v>
      </c>
      <c r="L12" s="103"/>
      <c r="M12" s="101" t="e">
        <f>(K12/E12)*-1</f>
        <v>#DIV/0!</v>
      </c>
    </row>
    <row r="13" spans="2:33" ht="17.399999999999999">
      <c r="B13" s="119" t="s">
        <v>21</v>
      </c>
      <c r="C13" s="120"/>
      <c r="D13" s="121"/>
      <c r="E13" s="131" cm="1">
        <f t="array" ref="E13">_xlfn.IFS(
$E$11="CONSOLIDADO",
SUMIF(JANEIRO!$E$13:$E$412,"GASTOS VARIÁVEIS",JANEIRO!$G$13:$G$412)+
SUMIF(FEVEREIRO!$E$13:$E$412,"GASTOS VARIÁVEIS",FEVEREIRO!$G$13:$G$412)+
SUMIF(MARÇO!$E$13:$E$412,"GASTOS VARIÁVEIS",MARÇO!$G$13:$G$412)+
SUMIF(ABRIL!$E$13:$E$415,"GASTOS VARIÁVEIS",ABRIL!$G$13:$G$415)+
SUMIF(MAIO!$E$13:$E$418,"GASTOS VARIÁVEIS",MAIO!$G$13:$G$418)+
SUMIF(JUNHO!$E$13:$E$419,"GASTOS VARIÁVEIS",JUNHO!$G$13:$G$419)+
SUMIF(JULHO!$E$13:$E$412,"GASTOS VARIÁVEIS",JULHO!$G$13:$G$412)+
SUMIF(AGOSTO!$E$13:$E$412,"GASTOS VARIÁVEIS",AGOSTO!$G$13:$G$412)+
SUMIF(SETEMBRO!$E$13:$E$412,"GASTOS VARIÁVEIS",SETEMBRO!$G$13:$G$412)+
SUMIF(OUTUBRO!$E$13:$E$412,"GASTOS VARIÁVEIS",OUTUBRO!$G$13:$G$412)+
SUMIF(NOVEMBRO!$E$13:$E$412,"GASTOS VARIÁVEIS",NOVEMBRO!$G$13:$G$412)+
SUMIF(DEZEMBRO!$E$13:$E$412,"GASTOS VARIÁVEIS",DEZEMBRO!$G$13:$G$412),
$E$11="JANEIRO",SUMIF(JANEIRO!$E$13:$E$412,"GASTOS VARIÁVEIS",JANEIRO!$G$13:$G$412),
$E$11="FEVEREIRO",SUMIF(FEVEREIRO!$E$13:$E$412,"GASTOS VARIÁVEIS",FEVEREIRO!$G$13:$G$412),
$E$11="MARÇO",SUMIF(MARÇO!$E$13:$E$412,"GASTOS VARIÁVEIS",MARÇO!$G$13:$G$412),
$E$11="ABRIL",SUMIF(ABRIL!$E$13:$E$415,"GASTOS VARIÁVEIS",ABRIL!$G$13:$G$415),
$E$11="MAIO",SUMIF(MAIO!$E$13:$E$418,"GASTOS VARIÁVEIS",MAIO!$G$13:$G$418),
$E$11="JUNHO",SUMIF(JUNHO!$E$13:$E$419,"GASTOS VARIÁVEIS",JUNHO!$G$13:$G$419),
$E$11="JULHO",SUMIF(JULHO!$E$13:$E$412,"GASTOS VARIÁVEIS",JULHO!$G$13:$G$412),
$E$11="AGOSTO",SUMIF(AGOSTO!$E$13:$E$412,"GASTOS VARIÁVEIS",AGOSTO!$G$13:$G$412),
$E$11="SETEMBRO",SUMIF(SETEMBRO!$E$13:$E$412,"GASTOS VARIÁVEIS",SETEMBRO!$G$13:$G$412),
$E$11="OUTUBRO",SUMIF(OUTUBRO!$E$13:$E$412,"GASTOS VARIÁVEIS",OUTUBRO!$G$13:$G$412),
$E$11="NOVEMBRO",SUMIF(NOVEMBRO!$E$13:$E$412,"GASTOS VARIÁVEIS",NOVEMBRO!$G$13:$G$412),
$E$11="DEZEMBRO",SUMIF(DEZEMBRO!$E$13:$E$412,"GASTOS VARIÁVEIS",DEZEMBRO!$G$13:$G$412)
)</f>
        <v>0</v>
      </c>
      <c r="F13" s="131"/>
      <c r="G13" s="40" t="e">
        <f t="shared" si="0"/>
        <v>#DIV/0!</v>
      </c>
      <c r="K13" s="103"/>
      <c r="L13" s="103"/>
      <c r="M13" s="101"/>
    </row>
    <row r="14" spans="2:33" ht="17.399999999999999">
      <c r="B14" s="122" t="s">
        <v>22</v>
      </c>
      <c r="C14" s="123"/>
      <c r="D14" s="124"/>
      <c r="E14" s="110">
        <f>E12-E13</f>
        <v>0</v>
      </c>
      <c r="F14" s="110"/>
      <c r="G14" s="41" t="e">
        <f t="shared" si="0"/>
        <v>#DIV/0!</v>
      </c>
    </row>
    <row r="15" spans="2:33" ht="21">
      <c r="B15" s="119" t="s">
        <v>23</v>
      </c>
      <c r="C15" s="120"/>
      <c r="D15" s="121"/>
      <c r="E15" s="131" cm="1">
        <f t="array" ref="E15">_xlfn.IFS(
$E$11="CONSOLIDADO",
SUMIF(JANEIRO!$E$13:$E$412,"DESPESAS FIXAS",JANEIRO!$G$13:$G$412)+
SUMIF(FEVEREIRO!$E$13:$E$412,"DESPESAS FIXAS",FEVEREIRO!$G$13:$G$412)+
SUMIF(MARÇO!$E$13:$E$412,"DESPESAS FIXAS",MARÇO!$G$13:$G$412)+
SUMIF(ABRIL!$E$13:$E$415,"DESPESAS FIXAS",ABRIL!$G$13:$G$415)+
SUMIF(MAIO!$E$13:$E$418,"DESPESAS FIXAS",MAIO!$G$13:$G$418)+
SUMIF(JUNHO!$E$13:$E$419,"DESPESAS FIXAS",JUNHO!$G$13:$G$419)+
SUMIF(JULHO!$E$13:$E$412,"DESPESAS FIXAS",JULHO!$G$13:$G$412)+
SUMIF(AGOSTO!$E$13:$E$412,"DESPESAS FIXAS",AGOSTO!$G$13:$G$412)+
SUMIF(SETEMBRO!$E$13:$E$412,"DESPESAS FIXAS",SETEMBRO!$G$13:$G$412)+
SUMIF(OUTUBRO!$E$13:$E$412,"DESPESAS FIXAS",OUTUBRO!$G$13:$G$412)+
SUMIF(NOVEMBRO!$E$13:$E$412,"DESPESAS FIXAS",NOVEMBRO!$G$13:$G$412)+
SUMIF(DEZEMBRO!$E$13:$E$412,"DESPESAS FIXAS",DEZEMBRO!$G$13:$G$412),
$E$11="JANEIRO",SUMIF(JANEIRO!$E$13:$E$412,"DESPESAS FIXAS",JANEIRO!$G$13:$G$412),
$E$11="FEVEREIRO",SUMIF(FEVEREIRO!$E$13:$E$412,"DESPESAS FIXAS",FEVEREIRO!$G$13:$G$412),
$E$11="MARÇO",SUMIF(MARÇO!$E$13:$E$412,"DESPESAS FIXAS",MARÇO!$G$13:$G$412),
$E$11="ABRIL",SUMIF(ABRIL!$E$13:$E$415,"DESPESAS FIXAS",ABRIL!$G$13:$G$415),
$E$11="MAIO",SUMIF(MAIO!$E$13:$E$418,"DESPESAS FIXAS",MAIO!$G$13:$G$418),
$E$11="JUNHO",SUMIF(JUNHO!$E$13:$E$419,"DESPESAS FIXAS",JUNHO!$G$13:$G$419),
$E$11="JULHO",SUMIF(JULHO!$E$13:$E$412,"DESPESAS FIXAS",JULHO!$G$13:$G$412),
$E$11="AGOSTO",SUMIF(AGOSTO!$E$13:$E$412,"DESPESAS FIXAS",AGOSTO!$G$13:$G$412),
$E$11="SETEMBRO",SUMIF(SETEMBRO!$E$13:$E$412,"DESPESAS FIXAS",SETEMBRO!$G$13:$G$412),
$E$11="OUTUBRO",SUMIF(OUTUBRO!$E$13:$E$412,"DESPESAS FIXAS",OUTUBRO!$G$13:$G$412),
$E$11="NOVEMBRO",SUMIF(NOVEMBRO!$E$13:$E$412,"DESPESAS FIXAS",NOVEMBRO!$G$13:$G$412),
$E$11="DEZEMBRO",SUMIF(DEZEMBRO!$E$13:$E$412,"DESPESAS FIXAS",DEZEMBRO!$G$13:$G$412)
)</f>
        <v>0</v>
      </c>
      <c r="F15" s="131"/>
      <c r="G15" s="40" t="e">
        <f t="shared" si="0"/>
        <v>#DIV/0!</v>
      </c>
      <c r="K15" s="102" t="s">
        <v>89</v>
      </c>
      <c r="L15" s="102"/>
      <c r="M15" s="102"/>
    </row>
    <row r="16" spans="2:33" ht="17.399999999999999">
      <c r="B16" s="122" t="s">
        <v>24</v>
      </c>
      <c r="C16" s="123"/>
      <c r="D16" s="124"/>
      <c r="E16" s="110">
        <f>E14-E15</f>
        <v>0</v>
      </c>
      <c r="F16" s="110"/>
      <c r="G16" s="41" t="e">
        <f t="shared" si="0"/>
        <v>#DIV/0!</v>
      </c>
      <c r="K16" s="104" t="e">
        <f>(E15+E17+E19)/G14*-1</f>
        <v>#DIV/0!</v>
      </c>
      <c r="L16" s="105"/>
      <c r="M16" s="106"/>
    </row>
    <row r="17" spans="2:13" ht="17.399999999999999">
      <c r="B17" s="119" t="s">
        <v>25</v>
      </c>
      <c r="C17" s="120"/>
      <c r="D17" s="121"/>
      <c r="E17" s="131" cm="1">
        <f t="array" ref="E17">_xlfn.IFS(
$E$11="CONSOLIDADO",
SUMIF(JANEIRO!$E$13:$E$412,"INVESTIMENTOS",JANEIRO!$G$13:$G$412)+
SUMIF(FEVEREIRO!$E$13:$E$412,"INVESTIMENTOS",FEVEREIRO!$G$13:$G$412)+
SUMIF(MARÇO!$E$13:$E$412,"INVESTIMENTOS",MARÇO!$G$13:$G$412)+
SUMIF(ABRIL!$E$13:$E$415,"INVESTIMENTOS",ABRIL!$G$13:$G$415)+
SUMIF(MAIO!$E$13:$E$418,"INVESTIMENTOS",MAIO!$G$13:$G$418)+
SUMIF(JUNHO!$E$13:$E$419,"INVESTIMENTOS",JUNHO!$G$13:$G$419)+
SUMIF(JULHO!$E$13:$E$412,"INVESTIMENTOS",JULHO!$G$13:$G$412)+
SUMIF(AGOSTO!$E$13:$E$412,"INVESTIMENTOS",AGOSTO!$G$13:$G$412)+
SUMIF(SETEMBRO!$E$13:$E$412,"INVESTIMENTOS",SETEMBRO!$G$13:$G$412)+
SUMIF(OUTUBRO!$E$13:$E$412,"INVESTIMENTOS",OUTUBRO!$G$13:$G$412)+
SUMIF(NOVEMBRO!$E$13:$E$412,"INVESTIMENTOS",NOVEMBRO!$G$13:$G$412)+
SUMIF(DEZEMBRO!$E$13:$E$412,"INVESTIMENTOS",DEZEMBRO!$G$13:$G$412),
$E$11="JANEIRO",SUMIF(JANEIRO!$E$13:$E$412,"INVESTIMENTOS",JANEIRO!$G$13:$G$412),
$E$11="FEVEREIRO",SUMIF(FEVEREIRO!$E$13:$E$412,"INVESTIMENTOS",FEVEREIRO!$G$13:$G$412),
$E$11="MARÇO",SUMIF(MARÇO!$E$13:$E$412,"INVESTIMENTOS",MARÇO!$G$13:$G$412),
$E$11="ABRIL",SUMIF(ABRIL!$E$13:$E$415,"INVESTIMENTOS",ABRIL!$G$13:$G$415),
$E$11="MAIO",SUMIF(MAIO!$E$13:$E$418,"INVESTIMENTOS",MAIO!$G$13:$G$418),
$E$11="JUNHO",SUMIF(JUNHO!$E$13:$E$419,"INVESTIMENTOS",JUNHO!$G$13:$G$419),
$E$11="JULHO",SUMIF(JULHO!$E$13:$E$412,"INVESTIMENTOS",JULHO!$G$13:$G$412),
$E$11="AGOSTO",SUMIF(AGOSTO!$E$13:$E$412,"INVESTIMENTOS",AGOSTO!$G$13:$G$412),
$E$11="SETEMBRO",SUMIF(SETEMBRO!$E$13:$E$412,"INVESTIMENTOS",SETEMBRO!$G$13:$G$412),
$E$11="OUTUBRO",SUMIF(OUTUBRO!$E$13:$E$412,"INVESTIMENTOS",OUTUBRO!$G$13:$G$412),
$E$11="NOVEMBRO",SUMIF(NOVEMBRO!$E$13:$E$412,"INVESTIMENTOS",NOVEMBRO!$G$13:$G$412),
$E$11="DEZEMBRO",SUMIF(DEZEMBRO!$E$13:$E$412,"INVESTIMENTOS",DEZEMBRO!$G$13:$G$412)
)</f>
        <v>0</v>
      </c>
      <c r="F17" s="131"/>
      <c r="G17" s="40" t="e">
        <f t="shared" si="0"/>
        <v>#DIV/0!</v>
      </c>
      <c r="K17" s="107"/>
      <c r="L17" s="108"/>
      <c r="M17" s="109"/>
    </row>
    <row r="18" spans="2:13" ht="21">
      <c r="B18" s="122" t="s">
        <v>26</v>
      </c>
      <c r="C18" s="123"/>
      <c r="D18" s="124"/>
      <c r="E18" s="110">
        <f>E16-E17</f>
        <v>0</v>
      </c>
      <c r="F18" s="110"/>
      <c r="G18" s="41" t="e">
        <f t="shared" si="0"/>
        <v>#DIV/0!</v>
      </c>
      <c r="K18" s="117"/>
      <c r="L18" s="117"/>
    </row>
    <row r="19" spans="2:13" ht="17.399999999999999">
      <c r="B19" s="132" t="s">
        <v>8</v>
      </c>
      <c r="C19" s="133"/>
      <c r="D19" s="134"/>
      <c r="E19" s="111" cm="1">
        <f t="array" ref="E19">_xlfn.IFS(
$E$11="CONSOLIDADO",
SUMIF(JANEIRO!$E$13:$E$412,"NÃO OPERACIONAL",JANEIRO!$G$13:$G$412)+
SUMIF(FEVEREIRO!$E$13:$E$412,"NÃO OPERACIONAL",FEVEREIRO!$G$13:$G$412)+
SUMIF(MARÇO!$E$13:$E$412,"NÃO OPERACIONAL",MARÇO!$G$13:$G$412)+
SUMIF(ABRIL!$E$13:$E$415,"NÃO OPERACIONAL",ABRIL!$G$13:$G$415)+
SUMIF(MAIO!$E$13:$E$418,"NÃO OPERACIONAL",MAIO!$G$13:$G$418)+
SUMIF(JUNHO!$E$13:$E$419,"NÃO OPERACIONAL",JUNHO!$G$13:$G$419)+
SUMIF(JULHO!$E$13:$E$412,"NÃO OPERACIONAL",JULHO!$G$13:$G$412)+
SUMIF(AGOSTO!$E$13:$E$412,"NÃO OPERACIONAL",AGOSTO!$G$13:$G$412)+
SUMIF(SETEMBRO!$E$13:$E$412,"NÃO OPERACIONAL",SETEMBRO!$G$13:$G$412)+
SUMIF(OUTUBRO!$E$13:$E$412,"NÃO OPERACIONAL",OUTUBRO!$G$13:$G$412)+
SUMIF(NOVEMBRO!$E$13:$E$412,"NÃO OPERACIONAL",NOVEMBRO!$G$13:$G$412)+
SUMIF(DEZEMBRO!$E$13:$E$412,"NÃO OPERACIONAL",DEZEMBRO!$G$13:$G$412),
$E$11="JANEIRO",SUMIF(JANEIRO!$E$13:$E$412,"NÃO OPERACIONAL",JANEIRO!$G$13:$G$412),
$E$11="FEVEREIRO",SUMIF(FEVEREIRO!$E$13:$E$412,"NÃO OPERACIONAL",FEVEREIRO!$G$13:$G$412),
$E$11="MARÇO",SUMIF(MARÇO!$E$13:$E$412,"NÃO OPERACIONAL",MARÇO!$G$13:$G$412),
$E$11="ABRIL",SUMIF(ABRIL!$E$13:$E$415,"NÃO OPERACIONAL",ABRIL!$G$13:$G$415),
$E$11="MAIO",SUMIF(MAIO!$E$13:$E$418,"NÃO OPERACIONAL",MAIO!$G$13:$G$418),
$E$11="JUNHO",SUMIF(JUNHO!$E$13:$E$419,"NÃO OPERACIONAL",JUNHO!$G$13:$G$419),
$E$11="JULHO",SUMIF(JULHO!$E$13:$E$412,"NÃO OPERACIONAL",JULHO!$G$13:$G$412),
$E$11="AGOSTO",SUMIF(AGOSTO!$E$13:$E$412,"NÃO OPERACIONAL",AGOSTO!$G$13:$G$412),
$E$11="SETEMBRO",SUMIF(SETEMBRO!$E$13:$E$412,"NÃO OPERACIONAL",SETEMBRO!$G$13:$G$412),
$E$11="OUTUBRO",SUMIF(OUTUBRO!$E$13:$E$412,"NÃO OPERACIONAL",OUTUBRO!$G$13:$G$412),
$E$11="NOVEMBRO",SUMIF(NOVEMBRO!$E$13:$E$412,"NÃO OPERACIONAL",NOVEMBRO!$G$13:$G$412),
$E$11="DEZEMBRO",SUMIF(DEZEMBRO!$E$13:$E$412,"NÃO OPERACIONAL",DEZEMBRO!$G$13:$G$412)
)</f>
        <v>0</v>
      </c>
      <c r="F19" s="111"/>
      <c r="G19" s="42" t="e">
        <f t="shared" si="0"/>
        <v>#DIV/0!</v>
      </c>
      <c r="K19" s="56"/>
    </row>
    <row r="20" spans="2:13" ht="17.399999999999999">
      <c r="B20" s="127" t="s">
        <v>27</v>
      </c>
      <c r="C20" s="128"/>
      <c r="D20" s="129"/>
      <c r="E20" s="112">
        <f>E18-E19</f>
        <v>0</v>
      </c>
      <c r="F20" s="113"/>
      <c r="G20" s="51" t="e">
        <f t="shared" si="0"/>
        <v>#DIV/0!</v>
      </c>
    </row>
    <row r="21" spans="2:13">
      <c r="B21" s="26"/>
    </row>
    <row r="25" spans="2:13" s="23" customFormat="1"/>
    <row r="26" spans="2:13" s="23" customFormat="1" ht="17.399999999999999">
      <c r="C26" s="31"/>
      <c r="D26" s="31"/>
      <c r="E26" s="32"/>
      <c r="F26" s="33"/>
      <c r="G26" s="34"/>
      <c r="H26" s="35"/>
      <c r="J26" s="31"/>
      <c r="K26" s="31"/>
      <c r="L26" s="36"/>
    </row>
    <row r="27" spans="2:13" ht="17.399999999999999">
      <c r="C27"/>
      <c r="D27"/>
      <c r="E27" s="27"/>
      <c r="F27"/>
      <c r="G27" s="30"/>
      <c r="H27" s="28"/>
      <c r="J27"/>
      <c r="K27"/>
      <c r="L27" s="29"/>
    </row>
    <row r="1048557" spans="2:2">
      <c r="B1048557" s="2" t="s">
        <v>19</v>
      </c>
    </row>
    <row r="1048558" spans="2:2">
      <c r="B1048558" s="2" t="s">
        <v>35</v>
      </c>
    </row>
    <row r="1048559" spans="2:2">
      <c r="B1048559" s="2" t="s">
        <v>46</v>
      </c>
    </row>
    <row r="1048560" spans="2:2">
      <c r="B1048560" s="2" t="s">
        <v>47</v>
      </c>
    </row>
    <row r="1048561" spans="2:2">
      <c r="B1048561" s="2" t="s">
        <v>48</v>
      </c>
    </row>
    <row r="1048562" spans="2:2">
      <c r="B1048562" s="2" t="s">
        <v>49</v>
      </c>
    </row>
    <row r="1048563" spans="2:2">
      <c r="B1048563" s="2" t="s">
        <v>50</v>
      </c>
    </row>
    <row r="1048564" spans="2:2">
      <c r="B1048564" s="2" t="s">
        <v>51</v>
      </c>
    </row>
    <row r="1048565" spans="2:2">
      <c r="B1048565" s="2" t="s">
        <v>52</v>
      </c>
    </row>
    <row r="1048566" spans="2:2">
      <c r="B1048566" s="2" t="s">
        <v>53</v>
      </c>
    </row>
    <row r="1048567" spans="2:2">
      <c r="B1048567" s="2" t="s">
        <v>54</v>
      </c>
    </row>
    <row r="1048568" spans="2:2">
      <c r="B1048568" s="2" t="s">
        <v>55</v>
      </c>
    </row>
    <row r="1048569" spans="2:2">
      <c r="B1048569" s="26" t="s">
        <v>73</v>
      </c>
    </row>
  </sheetData>
  <mergeCells count="26">
    <mergeCell ref="B11:D11"/>
    <mergeCell ref="B13:D13"/>
    <mergeCell ref="B14:D14"/>
    <mergeCell ref="E11:F11"/>
    <mergeCell ref="B20:D20"/>
    <mergeCell ref="E12:F12"/>
    <mergeCell ref="E13:F13"/>
    <mergeCell ref="E14:F14"/>
    <mergeCell ref="E15:F15"/>
    <mergeCell ref="B15:D15"/>
    <mergeCell ref="B16:D16"/>
    <mergeCell ref="B17:D17"/>
    <mergeCell ref="B18:D18"/>
    <mergeCell ref="B19:D19"/>
    <mergeCell ref="E16:F16"/>
    <mergeCell ref="E17:F17"/>
    <mergeCell ref="E18:F18"/>
    <mergeCell ref="E19:F19"/>
    <mergeCell ref="E20:F20"/>
    <mergeCell ref="B12:D12"/>
    <mergeCell ref="K18:L18"/>
    <mergeCell ref="M12:M13"/>
    <mergeCell ref="K11:M11"/>
    <mergeCell ref="K12:L13"/>
    <mergeCell ref="K15:M15"/>
    <mergeCell ref="K16:M17"/>
  </mergeCells>
  <dataValidations count="2">
    <dataValidation type="list" allowBlank="1" showInputMessage="1" showErrorMessage="1" sqref="B1048557:B1048560" xr:uid="{0CC3B3BA-E7F2-4ACA-B317-B6FC70494E93}">
      <formula1>$A$1048556:$A$1048559</formula1>
    </dataValidation>
    <dataValidation type="list" allowBlank="1" showInputMessage="1" showErrorMessage="1" sqref="E11:F11" xr:uid="{12380D62-8C4C-42A6-9CFF-672BEFD3AC3B}">
      <formula1>$B$1048557:$B$1048569</formula1>
    </dataValidation>
  </dataValidations>
  <pageMargins left="0.511811024" right="0.511811024" top="0.78740157499999996" bottom="0.78740157499999996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48566"/>
  <sheetViews>
    <sheetView showGridLines="0" zoomScale="85" zoomScaleNormal="85" workbookViewId="0">
      <selection activeCell="B2" sqref="B2"/>
    </sheetView>
  </sheetViews>
  <sheetFormatPr defaultColWidth="32" defaultRowHeight="26.25" customHeight="1"/>
  <cols>
    <col min="4" max="4" width="12.5546875" customWidth="1"/>
  </cols>
  <sheetData>
    <row r="1" spans="1:6" ht="75" customHeight="1">
      <c r="A1" s="2" t="s">
        <v>75</v>
      </c>
      <c r="B1" s="2" t="s">
        <v>34</v>
      </c>
      <c r="C1" s="2" t="s">
        <v>88</v>
      </c>
    </row>
    <row r="2" spans="1:6" ht="26.25" customHeight="1">
      <c r="A2" s="57" t="s">
        <v>76</v>
      </c>
      <c r="B2" s="88">
        <f>SUMIF(JANEIRO!E13:E254,"RECEITA",JANEIRO!F13:F254)</f>
        <v>0</v>
      </c>
      <c r="C2" s="3">
        <f>(SUMIF(JANEIRO!$E$13:$E$412,"GASTOS VARIÁVEIS",JANEIRO!$G$13:$G$412)+
SUMIF(JANEIRO!$E$13:$E$412,"DESPESAS FIXAS",JANEIRO!$G$13:$G$412)+
SUMIF(JANEIRO!$E$13:$E$412,"INVESTIMENTOS",JANEIRO!$G$13:$G$412)+
SUMIF(JANEIRO!$E$13:$E$412,"NÃO OPERACIONAL",JANEIRO!$G$13:$G$412))</f>
        <v>0</v>
      </c>
      <c r="E2" s="86" t="s">
        <v>97</v>
      </c>
      <c r="F2" s="86" t="s">
        <v>98</v>
      </c>
    </row>
    <row r="3" spans="1:6" ht="26.25" customHeight="1">
      <c r="A3" s="57" t="s">
        <v>77</v>
      </c>
      <c r="B3" s="88">
        <f>SUMIF(FEVEREIRO!E14:E255,"RECEITA",FEVEREIRO!F14:F255)</f>
        <v>0</v>
      </c>
      <c r="C3" s="3">
        <f>(SUMIF(FEVEREIRO!$E$13:$E$412,"GASTOS VARIÁVEIS",FEVEREIRO!$G$13:$G$412)+
SUMIF(FEVEREIRO!$E$13:$E$412,"DESPESAS FIXAS",FEVEREIRO!$G$13:$G$412)+
SUMIF(FEVEREIRO!$E$13:$E$412,"INVESTIMENTOS",FEVEREIRO!$G$13:$G$412)+
SUMIF(FEVEREIRO!$E$13:$E$412,"NÃO OPERACIONAL",FEVEREIRO!$G$13:$G$412))*-1</f>
        <v>0</v>
      </c>
      <c r="E3" s="87" t="s">
        <v>46</v>
      </c>
    </row>
    <row r="4" spans="1:6" ht="26.25" customHeight="1">
      <c r="A4" s="57" t="s">
        <v>78</v>
      </c>
      <c r="B4" s="90">
        <f>SUMIF(MARÇO!E14:E255,"RECEITA",MARÇO!F14:F255)</f>
        <v>0</v>
      </c>
      <c r="C4" s="89">
        <f>(SUMIF(MARÇO!$E$13:$E$412,"GASTOS VARIÁVEIS",MARÇO!$G$13:$G$412)+SUMIF(MARÇO!$E$13:$E$412,"DESPESAS FIXAS",MARÇO!$G$13:$G$412)+SUMIF(MARÇO!$E$13:$E$412,"INVESTIMENTOS",MARÇO!$G$13:$G$412)+SUMIF(MARÇO!$E$13:$E$412,"NÃO OPERACIONAL",MARÇO!$G$13:$G$412))*-1</f>
        <v>0</v>
      </c>
      <c r="E4" s="87" t="s">
        <v>47</v>
      </c>
    </row>
    <row r="5" spans="1:6" ht="26.25" customHeight="1">
      <c r="A5" s="57" t="s">
        <v>79</v>
      </c>
      <c r="B5" s="90">
        <f>SUMIF(ABRIL!E14:E258,"RECEITA",ABRIL!F14:F258)</f>
        <v>0</v>
      </c>
      <c r="C5" s="89">
        <f>(SUMIF(ABRIL!$E$13:$E$415,"GASTOS VARIÁVEIS",ABRIL!$G$13:$G$415)+SUMIF(ABRIL!$E$13:$E$415,"DESPESAS FIXAS",ABRIL!$G$13:$G$415)+SUMIF(ABRIL!$E$13:$E$415,"INVESTIMENTOS",ABRIL!$G$13:$G$415)+SUMIF(ABRIL!$E$13:$E$415,"NÃO OPERACIONAL",ABRIL!$G$13:$G$415))*-1</f>
        <v>0</v>
      </c>
      <c r="E5" s="87" t="s">
        <v>48</v>
      </c>
    </row>
    <row r="6" spans="1:6" ht="26.25" customHeight="1">
      <c r="A6" s="57" t="s">
        <v>80</v>
      </c>
      <c r="B6" s="90">
        <f>SUMIF(MAIO!E14:E261,"RECEITA",MAIO!F14:F261)</f>
        <v>7852.18</v>
      </c>
      <c r="C6" s="89">
        <f>(SUMIF(MAIO!$E$13:$E$418,"GASTOS VARIÁVEIS",MAIO!$G$13:$G$418)+SUMIF(MAIO!$E$13:$E$418,"DESPESAS FIXAS",MAIO!$G$13:$G$418)+SUMIF(MAIO!$E$13:$E$418,"INVESTIMENTOS",MAIO!$G$13:$G$418)+SUMIF(MAIO!$E$13:$E$418,"NÃO OPERACIONAL",MAIO!$G$13:$G$418))*-1</f>
        <v>-7128.06</v>
      </c>
      <c r="E6" s="87" t="s">
        <v>49</v>
      </c>
    </row>
    <row r="7" spans="1:6" ht="26.25" customHeight="1">
      <c r="A7" s="57" t="s">
        <v>81</v>
      </c>
      <c r="B7" s="90">
        <f>SUMIF(JUNHO!E15:E262,"RECEITA",JUNHO!F15:F262)</f>
        <v>2335.81</v>
      </c>
      <c r="C7" s="89">
        <f>(SUMIF(JUNHO!$E$13:$E$419,"GASTOS VARIÁVEIS",JUNHO!$G$13:$G$419)+SUMIF(JUNHO!$E$13:$E$419,"DESPESAS FIXAS",JUNHO!$G$13:$G$419)+SUMIF(JUNHO!$E$13:$E$419,"INVESTIMENTOS",JUNHO!$G$13:$G$419)+SUMIF(JUNHO!$E$13:$E$419,"NÃO OPERACIONAL",JUNHO!$G$13:$G$419))*-1</f>
        <v>-2529.6</v>
      </c>
      <c r="E7" s="87" t="s">
        <v>50</v>
      </c>
    </row>
    <row r="8" spans="1:6" ht="26.25" customHeight="1">
      <c r="A8" s="57" t="s">
        <v>82</v>
      </c>
      <c r="B8" s="90">
        <f>SUMIF(JULHO!E14:E255,"RECEITA",JULHO!F14:F255)</f>
        <v>0</v>
      </c>
      <c r="C8" s="89">
        <f>(SUMIF(JULHO!$E$13:$E$412,"GASTOS VARIÁVEIS",JULHO!$G$13:$G$412)+SUMIF(JULHO!$E$13:$E$412,"DESPESAS FIXAS",JULHO!$G$13:$G$412)+SUMIF(JULHO!$E$13:$E$412,"INVESTIMENTOS",JULHO!$G$13:$G$412)+SUMIF(JULHO!$E$13:$E$412,"NÃO OPERACIONAL",JULHO!$G$13:$G$412))*-1</f>
        <v>0</v>
      </c>
      <c r="E8" s="87" t="s">
        <v>51</v>
      </c>
    </row>
    <row r="9" spans="1:6" ht="26.25" customHeight="1">
      <c r="A9" s="57" t="s">
        <v>83</v>
      </c>
      <c r="B9" s="90">
        <f>SUMIF(AGOSTO!E14:E255,"RECEITA",AGOSTO!F14:F255)</f>
        <v>0</v>
      </c>
      <c r="C9" s="89">
        <f>(SUMIF(AGOSTO!$E$13:$E$412,"GASTOS VARIÁVEIS",AGOSTO!$G$13:$G$412)+SUMIF(AGOSTO!$E$13:$E$412,"DESPESAS FIXAS",AGOSTO!$G$13:$G$412)+SUMIF(AGOSTO!$E$13:$E$412,"INVESTIMENTOS",AGOSTO!$G$13:$G$412)+SUMIF(AGOSTO!$E$13:$E$412,"NÃO OPERACIONAL",AGOSTO!$G$13:$G$412))*-1</f>
        <v>0</v>
      </c>
      <c r="E9" s="87" t="s">
        <v>52</v>
      </c>
    </row>
    <row r="10" spans="1:6" ht="26.25" customHeight="1">
      <c r="A10" s="57" t="s">
        <v>84</v>
      </c>
      <c r="B10" s="90">
        <f>SUMIF(SETEMBRO!E14:E255,"RECEITA",SETEMBRO!F14:F255)</f>
        <v>0</v>
      </c>
      <c r="C10" s="89">
        <f>(SUMIF(SETEMBRO!$E$13:$E$412,"GASTOS VARIÁVEIS",SETEMBRO!$G$13:$G$412)+SUMIF(SETEMBRO!$E$13:$E$412,"DESPESAS FIXAS",SETEMBRO!$G$13:$G$412)+SUMIF(SETEMBRO!$E$13:$E$412,"INVESTIMENTOS",SETEMBRO!$G$13:$G$412)+SUMIF(SETEMBRO!$E$13:$E$412,"NÃO OPERACIONAL",SETEMBRO!$G$13:$G$412))*-1</f>
        <v>0</v>
      </c>
      <c r="E10" s="87" t="s">
        <v>53</v>
      </c>
    </row>
    <row r="11" spans="1:6" ht="26.25" customHeight="1">
      <c r="A11" s="57" t="s">
        <v>85</v>
      </c>
      <c r="B11" s="90">
        <f>SUMIF(OUTUBRO!E14:E255,"RECEITA",OUTUBRO!F14:F255)</f>
        <v>0</v>
      </c>
      <c r="C11" s="89">
        <f>(SUMIF(OUTUBRO!$E$13:$E$412,"GASTOS VARIÁVEIS",OUTUBRO!$G$13:$G$412)+SUMIF(OUTUBRO!$E$13:$E$412,"DESPESAS FIXAS",OUTUBRO!$G$13:$G$412)+SUMIF(OUTUBRO!$E$13:$E$412,"INVESTIMENTOS",OUTUBRO!$G$13:$G$412)+SUMIF(OUTUBRO!$E$13:$E$412,"NÃO OPERACIONAL",OUTUBRO!$G$13:$G$412))*-1</f>
        <v>0</v>
      </c>
      <c r="E11" s="87" t="s">
        <v>54</v>
      </c>
    </row>
    <row r="12" spans="1:6" ht="26.25" customHeight="1">
      <c r="A12" s="57" t="s">
        <v>86</v>
      </c>
      <c r="B12" s="90">
        <f>SUMIF(NOVEMBRO!E14:E255,"RECEITA",NOVEMBRO!F14:F255)</f>
        <v>0</v>
      </c>
      <c r="C12" s="89">
        <f>(SUMIF(NOVEMBRO!$E$13:$E$412,"GASTOS VARIÁVEIS",NOVEMBRO!$G$13:$G$412)+SUMIF(NOVEMBRO!$E$13:$E$412,"DESPESAS FIXAS",NOVEMBRO!$G$13:$G$412)+SUMIF(NOVEMBRO!$E$13:$E$412,"INVESTIMENTOS",NOVEMBRO!$G$13:$G$412)+SUMIF(NOVEMBRO!$E$13:$E$412,"NÃO OPERACIONAL",NOVEMBRO!$G$13:$G$412))*-1</f>
        <v>0</v>
      </c>
      <c r="E12" s="87" t="s">
        <v>55</v>
      </c>
    </row>
    <row r="13" spans="1:6" ht="26.25" customHeight="1">
      <c r="A13" s="57" t="s">
        <v>87</v>
      </c>
      <c r="B13" s="90">
        <f>SUMIF(DEZEMBRO!E14:E255,"RECEITA",DEZEMBRO!F14:F255)</f>
        <v>0</v>
      </c>
      <c r="C13" s="89">
        <f>(SUMIF(DEZEMBRO!$E$13:$E$412,"GASTOS VARIÁVEIS",DEZEMBRO!$G$13:$G$412)+SUMIF(DEZEMBRO!$E$13:$E$412,"DESPESAS FIXAS",DEZEMBRO!$G$13:$G$412)+SUMIF(DEZEMBRO!$E$13:$E$412,"INVESTIMENTOS",DEZEMBRO!$G$13:$G$412)+SUMIF(DEZEMBRO!$E$13:$E$412,"NÃO OPERACIONAL",DEZEMBRO!$G$13:$G$412))*-1</f>
        <v>0</v>
      </c>
      <c r="E13" s="87"/>
    </row>
    <row r="14" spans="1:6" ht="26.25" customHeight="1">
      <c r="E14" s="87"/>
    </row>
    <row r="16" spans="1:6" ht="26.25" customHeight="1">
      <c r="A16" s="2" t="s">
        <v>75</v>
      </c>
      <c r="B16" s="2" t="s">
        <v>88</v>
      </c>
    </row>
    <row r="17" spans="1:2" ht="26.25" customHeight="1">
      <c r="A17" s="57" t="s">
        <v>76</v>
      </c>
      <c r="B17" s="58">
        <f>C2</f>
        <v>0</v>
      </c>
    </row>
    <row r="18" spans="1:2" ht="26.25" customHeight="1">
      <c r="A18" s="57" t="s">
        <v>77</v>
      </c>
      <c r="B18" s="58">
        <f>C3</f>
        <v>0</v>
      </c>
    </row>
    <row r="19" spans="1:2" ht="26.25" customHeight="1">
      <c r="A19" s="57" t="s">
        <v>78</v>
      </c>
      <c r="B19" s="58">
        <f>C4</f>
        <v>0</v>
      </c>
    </row>
    <row r="20" spans="1:2" ht="26.25" customHeight="1">
      <c r="A20" s="57" t="s">
        <v>79</v>
      </c>
      <c r="B20" s="58">
        <f t="shared" ref="B20:B28" si="0">C5</f>
        <v>0</v>
      </c>
    </row>
    <row r="21" spans="1:2" ht="26.25" customHeight="1">
      <c r="A21" s="57" t="s">
        <v>80</v>
      </c>
      <c r="B21" s="58">
        <f t="shared" si="0"/>
        <v>-7128.06</v>
      </c>
    </row>
    <row r="22" spans="1:2" ht="26.25" customHeight="1">
      <c r="A22" s="57" t="s">
        <v>81</v>
      </c>
      <c r="B22" s="58">
        <f t="shared" si="0"/>
        <v>-2529.6</v>
      </c>
    </row>
    <row r="23" spans="1:2" ht="26.25" customHeight="1">
      <c r="A23" s="57" t="s">
        <v>82</v>
      </c>
      <c r="B23" s="58">
        <f t="shared" si="0"/>
        <v>0</v>
      </c>
    </row>
    <row r="24" spans="1:2" ht="26.25" customHeight="1">
      <c r="A24" s="57" t="s">
        <v>83</v>
      </c>
      <c r="B24" s="58">
        <f t="shared" si="0"/>
        <v>0</v>
      </c>
    </row>
    <row r="25" spans="1:2" ht="26.25" customHeight="1">
      <c r="A25" s="57" t="s">
        <v>84</v>
      </c>
      <c r="B25" s="58">
        <f t="shared" si="0"/>
        <v>0</v>
      </c>
    </row>
    <row r="26" spans="1:2" ht="26.25" customHeight="1">
      <c r="A26" s="57" t="s">
        <v>85</v>
      </c>
      <c r="B26" s="58">
        <f t="shared" si="0"/>
        <v>0</v>
      </c>
    </row>
    <row r="27" spans="1:2" ht="26.25" customHeight="1">
      <c r="A27" s="57" t="s">
        <v>86</v>
      </c>
      <c r="B27" s="58">
        <f t="shared" si="0"/>
        <v>0</v>
      </c>
    </row>
    <row r="28" spans="1:2" ht="26.25" customHeight="1">
      <c r="A28" s="57" t="s">
        <v>87</v>
      </c>
      <c r="B28" s="58">
        <f t="shared" si="0"/>
        <v>0</v>
      </c>
    </row>
    <row r="1048545" spans="1:1" ht="26.25" customHeight="1">
      <c r="A1048545" s="2" t="s">
        <v>19</v>
      </c>
    </row>
    <row r="1048546" spans="1:1" ht="26.25" customHeight="1">
      <c r="A1048546" s="2" t="s">
        <v>35</v>
      </c>
    </row>
    <row r="1048547" spans="1:1" ht="26.25" customHeight="1">
      <c r="A1048547" s="2" t="s">
        <v>46</v>
      </c>
    </row>
    <row r="1048548" spans="1:1" ht="26.25" customHeight="1">
      <c r="A1048548" s="2" t="s">
        <v>47</v>
      </c>
    </row>
    <row r="1048549" spans="1:1" ht="26.25" customHeight="1">
      <c r="A1048549" s="2" t="s">
        <v>48</v>
      </c>
    </row>
    <row r="1048550" spans="1:1" ht="26.25" customHeight="1">
      <c r="A1048550" s="2" t="s">
        <v>49</v>
      </c>
    </row>
    <row r="1048551" spans="1:1" ht="26.25" customHeight="1">
      <c r="A1048551" s="2" t="s">
        <v>50</v>
      </c>
    </row>
    <row r="1048552" spans="1:1" ht="26.25" customHeight="1">
      <c r="A1048552" s="2" t="s">
        <v>51</v>
      </c>
    </row>
    <row r="1048553" spans="1:1" ht="26.25" customHeight="1">
      <c r="A1048553" s="2" t="s">
        <v>52</v>
      </c>
    </row>
    <row r="1048554" spans="1:1" ht="26.25" customHeight="1">
      <c r="A1048554" s="2" t="s">
        <v>53</v>
      </c>
    </row>
    <row r="1048555" spans="1:1" ht="26.25" customHeight="1">
      <c r="A1048555" s="2" t="s">
        <v>54</v>
      </c>
    </row>
    <row r="1048556" spans="1:1" ht="26.25" customHeight="1">
      <c r="A1048556" s="2" t="s">
        <v>55</v>
      </c>
    </row>
    <row r="1048557" spans="1:1" ht="26.25" customHeight="1">
      <c r="A1048557" s="2"/>
    </row>
    <row r="1048559" spans="1:1" ht="26.25" customHeight="1">
      <c r="A1048559" s="2"/>
    </row>
    <row r="1048561" spans="1:1" ht="26.25" customHeight="1">
      <c r="A1048561" s="2"/>
    </row>
    <row r="1048563" spans="1:1" ht="26.25" customHeight="1">
      <c r="A1048563" s="2"/>
    </row>
    <row r="1048565" spans="1:1" ht="26.25" customHeight="1">
      <c r="A1048565" s="2"/>
    </row>
    <row r="1048566" spans="1:1" ht="26.25" customHeight="1">
      <c r="A1048566" s="2"/>
    </row>
  </sheetData>
  <phoneticPr fontId="33" type="noConversion"/>
  <dataValidations count="1">
    <dataValidation type="list" allowBlank="1" showInputMessage="1" showErrorMessage="1" sqref="A1048545:A1048548" xr:uid="{29617CBD-A9FF-400C-889B-5A5994A9CF1E}">
      <formula1>$A$1048545:$A$1048548</formula1>
    </dataValidation>
  </dataValidation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54"/>
  <sheetViews>
    <sheetView showGridLines="0" zoomScale="85" zoomScaleNormal="85" workbookViewId="0">
      <selection activeCell="C42" sqref="C42"/>
    </sheetView>
  </sheetViews>
  <sheetFormatPr defaultColWidth="12.6640625" defaultRowHeight="13.2"/>
  <cols>
    <col min="1" max="1" width="5.33203125" style="77" customWidth="1"/>
    <col min="2" max="2" width="13" style="76" bestFit="1" customWidth="1"/>
    <col min="3" max="3" width="44.88671875" style="7" bestFit="1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8" s="8" customFormat="1" ht="4.5" customHeight="1">
      <c r="B1" s="76"/>
      <c r="C1" s="83"/>
      <c r="F1" s="85"/>
      <c r="G1" s="63"/>
    </row>
    <row r="2" spans="1:8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8" ht="12.75" customHeight="1">
      <c r="B3" s="137"/>
      <c r="C3" s="138"/>
      <c r="D3" s="138"/>
      <c r="E3" s="138"/>
      <c r="F3" s="138"/>
      <c r="G3" s="138"/>
      <c r="H3" s="138"/>
    </row>
    <row r="4" spans="1:8" ht="12.75" customHeight="1">
      <c r="B4" s="137"/>
      <c r="C4" s="138"/>
      <c r="D4" s="138"/>
      <c r="E4" s="138"/>
      <c r="F4" s="138"/>
      <c r="G4" s="138"/>
      <c r="H4" s="138"/>
    </row>
    <row r="5" spans="1:8" ht="12.75" customHeight="1">
      <c r="B5" s="139"/>
      <c r="C5" s="140"/>
      <c r="D5" s="140"/>
      <c r="E5" s="140"/>
      <c r="F5" s="140"/>
      <c r="G5" s="140"/>
      <c r="H5" s="140"/>
    </row>
    <row r="6" spans="1:8" s="8" customFormat="1" ht="3.75" customHeight="1">
      <c r="B6" s="76"/>
      <c r="C6" s="83"/>
      <c r="F6" s="85"/>
      <c r="G6" s="63"/>
    </row>
    <row r="7" spans="1:8" ht="21">
      <c r="A7" s="61"/>
      <c r="B7" s="149" t="s">
        <v>99</v>
      </c>
      <c r="C7" s="150"/>
      <c r="D7" s="150"/>
      <c r="E7" s="71"/>
      <c r="F7" s="71"/>
      <c r="G7" s="135">
        <f>D8+D9+D10+G8+G9+G10</f>
        <v>0</v>
      </c>
      <c r="H7" s="136"/>
    </row>
    <row r="8" spans="1:8" ht="15.6">
      <c r="A8" s="61"/>
      <c r="B8" s="148" t="s">
        <v>100</v>
      </c>
      <c r="C8" s="148"/>
      <c r="D8" s="65"/>
      <c r="E8" s="147" t="s">
        <v>93</v>
      </c>
      <c r="F8" s="148"/>
      <c r="G8" s="141"/>
      <c r="H8" s="142"/>
    </row>
    <row r="9" spans="1:8" ht="15.6">
      <c r="A9" s="61"/>
      <c r="B9" s="146" t="s">
        <v>101</v>
      </c>
      <c r="C9" s="146"/>
      <c r="D9" s="64"/>
      <c r="E9" s="145" t="s">
        <v>94</v>
      </c>
      <c r="F9" s="146"/>
      <c r="G9" s="143"/>
      <c r="H9" s="144"/>
    </row>
    <row r="10" spans="1:8" s="8" customFormat="1" ht="15.6">
      <c r="A10" s="61"/>
      <c r="B10" s="148" t="s">
        <v>92</v>
      </c>
      <c r="C10" s="148"/>
      <c r="D10" s="65"/>
      <c r="E10" s="145" t="s">
        <v>96</v>
      </c>
      <c r="F10" s="146"/>
      <c r="G10" s="141"/>
      <c r="H10" s="142"/>
    </row>
    <row r="11" spans="1:8" s="8" customFormat="1" ht="4.5" customHeight="1">
      <c r="B11" s="76"/>
      <c r="C11" s="83"/>
      <c r="F11" s="84"/>
      <c r="G11" s="84"/>
    </row>
    <row r="12" spans="1:8" ht="18">
      <c r="B12" s="67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8" ht="13.8">
      <c r="B13" s="74"/>
      <c r="C13" s="68"/>
      <c r="D13" s="1"/>
      <c r="E13" s="1" t="str">
        <f>IF(ISERROR(VLOOKUP(D13,Categorias!A:B,2,0)),"",VLOOKUP(D13,Categorias!A:B,2,0))</f>
        <v/>
      </c>
      <c r="F13" s="80"/>
      <c r="G13" s="5"/>
      <c r="H13" s="78"/>
    </row>
    <row r="14" spans="1:8" ht="9.75" customHeight="1">
      <c r="B14" s="74"/>
      <c r="C14" s="68"/>
      <c r="D14" s="1"/>
      <c r="E14" s="1" t="str">
        <f>IF(ISERROR(VLOOKUP(D14,Categorias!A:B,2,0)),"",VLOOKUP(D14,Categorias!A:B,2,0))</f>
        <v/>
      </c>
      <c r="F14" s="80"/>
      <c r="G14" s="5"/>
      <c r="H14" s="79"/>
    </row>
    <row r="15" spans="1:8" ht="13.8">
      <c r="B15" s="74"/>
      <c r="C15" s="68"/>
      <c r="D15" s="1"/>
      <c r="E15" s="1" t="str">
        <f>IF(ISERROR(VLOOKUP(D15,Categorias!A:B,2,0)),"",VLOOKUP(D15,Categorias!A:B,2,0))</f>
        <v/>
      </c>
      <c r="F15" s="80"/>
      <c r="G15" s="5"/>
      <c r="H15" s="79"/>
    </row>
    <row r="16" spans="1:8" ht="13.8">
      <c r="B16" s="74"/>
      <c r="C16" s="68"/>
      <c r="D16" s="1"/>
      <c r="E16" s="1" t="str">
        <f>IF(ISERROR(VLOOKUP(D16,Categorias!A:B,2,0)),"",VLOOKUP(D16,Categorias!A:B,2,0))</f>
        <v/>
      </c>
      <c r="F16" s="80"/>
      <c r="G16" s="5"/>
      <c r="H16" s="79"/>
    </row>
    <row r="17" spans="2:14" ht="13.8">
      <c r="B17" s="74"/>
      <c r="C17" s="68"/>
      <c r="D17" s="1"/>
      <c r="E17" s="1" t="str">
        <f>IF(ISERROR(VLOOKUP(D17,Categorias!A:B,2,0)),"",VLOOKUP(D17,Categorias!A:B,2,0))</f>
        <v/>
      </c>
      <c r="F17" s="80"/>
      <c r="G17" s="5"/>
      <c r="H17" s="79"/>
    </row>
    <row r="18" spans="2:14" ht="13.8">
      <c r="B18" s="74"/>
      <c r="C18" s="68"/>
      <c r="D18" s="1"/>
      <c r="E18" s="1" t="str">
        <f>IF(ISERROR(VLOOKUP(D18,Categorias!A:B,2,0)),"",VLOOKUP(D18,Categorias!A:B,2,0))</f>
        <v/>
      </c>
      <c r="F18" s="80"/>
      <c r="G18" s="5"/>
      <c r="H18" s="79"/>
    </row>
    <row r="19" spans="2:14" ht="13.8">
      <c r="B19" s="74"/>
      <c r="C19" s="68"/>
      <c r="D19" s="1"/>
      <c r="E19" s="1" t="str">
        <f>IF(ISERROR(VLOOKUP(D19,Categorias!A:B,2,0)),"",VLOOKUP(D19,Categorias!A:B,2,0))</f>
        <v/>
      </c>
      <c r="F19" s="80"/>
      <c r="G19" s="5"/>
      <c r="H19" s="79"/>
    </row>
    <row r="20" spans="2:14" ht="13.8">
      <c r="B20" s="74"/>
      <c r="C20" s="68"/>
      <c r="D20" s="1"/>
      <c r="E20" s="1" t="str">
        <f>IF(ISERROR(VLOOKUP(D20,Categorias!A:B,2,0)),"",VLOOKUP(D20,Categorias!A:B,2,0))</f>
        <v/>
      </c>
      <c r="F20" s="80"/>
      <c r="G20" s="5"/>
      <c r="H20" s="79"/>
    </row>
    <row r="21" spans="2:14" ht="13.8">
      <c r="B21" s="74"/>
      <c r="C21" s="68"/>
      <c r="D21" s="1"/>
      <c r="E21" s="1" t="str">
        <f>IF(ISERROR(VLOOKUP(D21,Categorias!A:B,2,0)),"",VLOOKUP(D21,Categorias!A:B,2,0))</f>
        <v/>
      </c>
      <c r="F21" s="80"/>
      <c r="G21" s="5"/>
      <c r="H21" s="79"/>
      <c r="N21" t="s">
        <v>102</v>
      </c>
    </row>
    <row r="22" spans="2:14" ht="13.8">
      <c r="B22" s="74"/>
      <c r="C22" s="68"/>
      <c r="D22" s="1"/>
      <c r="E22" s="1" t="str">
        <f>IF(ISERROR(VLOOKUP(D22,Categorias!A:B,2,0)),"",VLOOKUP(D22,Categorias!A:B,2,0))</f>
        <v/>
      </c>
      <c r="F22" s="80"/>
      <c r="G22" s="5"/>
      <c r="H22" s="79"/>
    </row>
    <row r="23" spans="2:14" ht="13.8">
      <c r="B23" s="74"/>
      <c r="C23" s="68"/>
      <c r="D23" s="1"/>
      <c r="E23" s="1" t="str">
        <f>IF(ISERROR(VLOOKUP(D23,Categorias!A:B,2,0)),"",VLOOKUP(D23,Categorias!A:B,2,0))</f>
        <v/>
      </c>
      <c r="F23" s="80"/>
      <c r="G23" s="5"/>
      <c r="H23" s="79"/>
    </row>
    <row r="24" spans="2:14" ht="13.8">
      <c r="B24" s="74"/>
      <c r="C24" s="68"/>
      <c r="D24" s="1"/>
      <c r="E24" s="1" t="str">
        <f>IF(ISERROR(VLOOKUP(D24,Categorias!A:B,2,0)),"",VLOOKUP(D24,Categorias!A:B,2,0))</f>
        <v/>
      </c>
      <c r="F24" s="80"/>
      <c r="G24" s="5"/>
      <c r="H24" s="79"/>
    </row>
    <row r="25" spans="2:14" ht="13.8">
      <c r="B25" s="74"/>
      <c r="C25" s="68"/>
      <c r="D25" s="1"/>
      <c r="E25" s="1" t="str">
        <f>IF(ISERROR(VLOOKUP(D25,Categorias!A:B,2,0)),"",VLOOKUP(D25,Categorias!A:B,2,0))</f>
        <v/>
      </c>
      <c r="F25" s="80"/>
      <c r="G25" s="5"/>
      <c r="H25" s="79"/>
    </row>
    <row r="26" spans="2:14" ht="13.8">
      <c r="B26" s="74"/>
      <c r="C26" s="68"/>
      <c r="D26" s="1"/>
      <c r="E26" s="1" t="str">
        <f>IF(ISERROR(VLOOKUP(D26,Categorias!A:B,2,0)),"",VLOOKUP(D26,Categorias!A:B,2,0))</f>
        <v/>
      </c>
      <c r="F26" s="80"/>
      <c r="G26" s="5"/>
      <c r="H26" s="79"/>
    </row>
    <row r="27" spans="2:14" ht="13.8">
      <c r="B27" s="74"/>
      <c r="C27" s="68"/>
      <c r="D27" s="1"/>
      <c r="E27" s="1" t="str">
        <f>IF(ISERROR(VLOOKUP(D27,Categorias!A:B,2,0)),"",VLOOKUP(D27,Categorias!A:B,2,0))</f>
        <v/>
      </c>
      <c r="F27" s="80"/>
      <c r="G27" s="5"/>
      <c r="H27" s="79"/>
    </row>
    <row r="28" spans="2:14" ht="13.8">
      <c r="B28" s="74"/>
      <c r="C28" s="68"/>
      <c r="D28" s="1"/>
      <c r="E28" s="1" t="str">
        <f>IF(ISERROR(VLOOKUP(D28,Categorias!A:B,2,0)),"",VLOOKUP(D28,Categorias!A:B,2,0))</f>
        <v/>
      </c>
      <c r="F28" s="80"/>
      <c r="G28" s="5"/>
      <c r="H28" s="79"/>
    </row>
    <row r="29" spans="2:14" ht="13.8">
      <c r="B29" s="74"/>
      <c r="C29" s="68"/>
      <c r="D29" s="1"/>
      <c r="E29" s="1" t="str">
        <f>IF(ISERROR(VLOOKUP(D29,Categorias!A:B,2,0)),"",VLOOKUP(D29,Categorias!A:B,2,0))</f>
        <v/>
      </c>
      <c r="F29" s="80"/>
      <c r="G29" s="5"/>
      <c r="H29" s="79"/>
    </row>
    <row r="30" spans="2:14" ht="13.8">
      <c r="B30" s="75"/>
      <c r="C30" s="68"/>
      <c r="D30" s="1"/>
      <c r="E30" s="1" t="str">
        <f>IF(ISERROR(VLOOKUP(D30,Categorias!A:B,2,0)),"",VLOOKUP(D30,Categorias!A:B,2,0))</f>
        <v/>
      </c>
      <c r="F30" s="80"/>
      <c r="G30" s="5"/>
      <c r="H30" s="79"/>
    </row>
    <row r="31" spans="2:14" ht="13.8">
      <c r="B31" s="75"/>
      <c r="C31" s="68"/>
      <c r="D31" s="1"/>
      <c r="E31" s="1" t="str">
        <f>IF(ISERROR(VLOOKUP(D31,Categorias!A:B,2,0)),"",VLOOKUP(D31,Categorias!A:B,2,0))</f>
        <v/>
      </c>
      <c r="F31" s="80"/>
      <c r="G31" s="5"/>
      <c r="H31" s="73"/>
    </row>
    <row r="32" spans="2:14" ht="13.8">
      <c r="B32" s="75"/>
      <c r="C32" s="70"/>
      <c r="D32" s="1"/>
      <c r="E32" s="1" t="str">
        <f>IF(ISERROR(VLOOKUP(D32,Categorias!A:B,2,0)),"",VLOOKUP(D32,Categorias!A:B,2,0))</f>
        <v/>
      </c>
      <c r="F32" s="80"/>
      <c r="G32" s="5"/>
      <c r="H32" s="73"/>
    </row>
    <row r="33" spans="2:8" ht="13.8">
      <c r="B33" s="75"/>
      <c r="C33" s="70"/>
      <c r="D33" s="1"/>
      <c r="E33" s="1" t="str">
        <f>IF(ISERROR(VLOOKUP(D33,Categorias!A:B,2,0)),"",VLOOKUP(D33,Categorias!A:B,2,0))</f>
        <v/>
      </c>
      <c r="F33" s="80"/>
      <c r="G33" s="5"/>
      <c r="H33" s="73"/>
    </row>
    <row r="34" spans="2:8" ht="13.8">
      <c r="B34" s="75"/>
      <c r="C34" s="70"/>
      <c r="D34" s="1"/>
      <c r="E34" s="1" t="str">
        <f>IF(ISERROR(VLOOKUP(D34,Categorias!A:B,2,0)),"",VLOOKUP(D34,Categorias!A:B,2,0))</f>
        <v/>
      </c>
      <c r="F34" s="80"/>
      <c r="G34" s="5"/>
      <c r="H34" s="73"/>
    </row>
    <row r="35" spans="2:8" ht="13.8">
      <c r="B35" s="75"/>
      <c r="C35" s="70"/>
      <c r="D35" s="1"/>
      <c r="E35" s="1" t="str">
        <f>IF(ISERROR(VLOOKUP(D35,Categorias!A:B,2,0)),"",VLOOKUP(D35,Categorias!A:B,2,0))</f>
        <v/>
      </c>
      <c r="F35" s="80"/>
      <c r="G35" s="5"/>
      <c r="H35" s="73"/>
    </row>
    <row r="36" spans="2:8" ht="13.8">
      <c r="B36" s="75"/>
      <c r="C36" s="70"/>
      <c r="D36" s="1"/>
      <c r="E36" s="1" t="str">
        <f>IF(ISERROR(VLOOKUP(D36,Categorias!A:B,2,0)),"",VLOOKUP(D36,Categorias!A:B,2,0))</f>
        <v/>
      </c>
      <c r="F36" s="80"/>
      <c r="G36" s="5"/>
      <c r="H36" s="73"/>
    </row>
    <row r="37" spans="2:8" ht="13.8">
      <c r="B37" s="75"/>
      <c r="C37" s="70"/>
      <c r="D37" s="1"/>
      <c r="E37" s="1" t="str">
        <f>IF(ISERROR(VLOOKUP(D37,Categorias!A:B,2,0)),"",VLOOKUP(D37,Categorias!A:B,2,0))</f>
        <v/>
      </c>
      <c r="F37" s="80"/>
      <c r="G37" s="5"/>
      <c r="H37" s="73"/>
    </row>
    <row r="38" spans="2:8" ht="13.8">
      <c r="B38" s="75"/>
      <c r="C38" s="69"/>
      <c r="D38" s="1"/>
      <c r="E38" s="1" t="str">
        <f>IF(ISERROR(VLOOKUP(D38,Categorias!A:B,2,0)),"",VLOOKUP(D38,Categorias!A:B,2,0))</f>
        <v/>
      </c>
      <c r="F38" s="80"/>
      <c r="G38" s="5"/>
      <c r="H38" s="73"/>
    </row>
    <row r="39" spans="2:8" ht="13.8">
      <c r="B39" s="75"/>
      <c r="C39" s="70"/>
      <c r="D39" s="1"/>
      <c r="E39" s="1" t="str">
        <f>IF(ISERROR(VLOOKUP(D39,Categorias!A:B,2,0)),"",VLOOKUP(D39,Categorias!A:B,2,0))</f>
        <v/>
      </c>
      <c r="F39" s="80"/>
      <c r="G39" s="5"/>
      <c r="H39" s="73"/>
    </row>
    <row r="40" spans="2:8" ht="13.8">
      <c r="B40" s="75"/>
      <c r="C40" s="70"/>
      <c r="D40" s="1"/>
      <c r="E40" s="1" t="str">
        <f>IF(ISERROR(VLOOKUP(D40,Categorias!A:B,2,0)),"",VLOOKUP(D40,Categorias!A:B,2,0))</f>
        <v/>
      </c>
      <c r="F40" s="80"/>
      <c r="G40" s="5"/>
      <c r="H40" s="73"/>
    </row>
    <row r="41" spans="2:8" ht="13.8">
      <c r="B41" s="75"/>
      <c r="C41" s="70"/>
      <c r="D41" s="1"/>
      <c r="E41" s="1" t="str">
        <f>IF(ISERROR(VLOOKUP(D41,Categorias!A:B,2,0)),"",VLOOKUP(D41,Categorias!A:B,2,0))</f>
        <v/>
      </c>
      <c r="F41" s="80"/>
      <c r="G41" s="5"/>
      <c r="H41" s="73"/>
    </row>
    <row r="42" spans="2:8" ht="13.8">
      <c r="B42" s="75"/>
      <c r="C42" s="70"/>
      <c r="D42" s="1"/>
      <c r="E42" s="1" t="str">
        <f>IF(ISERROR(VLOOKUP(D42,Categorias!A:B,2,0)),"",VLOOKUP(D42,Categorias!A:B,2,0))</f>
        <v/>
      </c>
      <c r="F42" s="80"/>
      <c r="G42" s="5"/>
      <c r="H42" s="73"/>
    </row>
    <row r="43" spans="2:8" ht="13.8">
      <c r="B43" s="75"/>
      <c r="C43" s="70"/>
      <c r="D43" s="1"/>
      <c r="E43" s="1" t="str">
        <f>IF(ISERROR(VLOOKUP(D43,Categorias!A:B,2,0)),"",VLOOKUP(D43,Categorias!A:B,2,0))</f>
        <v/>
      </c>
      <c r="F43" s="80"/>
      <c r="G43" s="5"/>
      <c r="H43" s="73"/>
    </row>
    <row r="44" spans="2:8" ht="13.8">
      <c r="B44" s="75"/>
      <c r="D44" s="1"/>
      <c r="E44" s="1" t="str">
        <f>IF(ISERROR(VLOOKUP(D44,Categorias!A:B,2,0)),"",VLOOKUP(D44,Categorias!A:B,2,0))</f>
        <v/>
      </c>
      <c r="F44" s="80"/>
      <c r="G44" s="5"/>
      <c r="H44" s="73"/>
    </row>
    <row r="45" spans="2:8" ht="13.8">
      <c r="B45" s="75"/>
      <c r="D45" s="1"/>
      <c r="E45" s="1" t="str">
        <f>IF(ISERROR(VLOOKUP(D45,Categorias!A:B,2,0)),"",VLOOKUP(D45,Categorias!A:B,2,0))</f>
        <v/>
      </c>
      <c r="F45" s="80"/>
      <c r="G45" s="5"/>
      <c r="H45" s="73"/>
    </row>
    <row r="46" spans="2:8" ht="13.8">
      <c r="B46" s="75"/>
      <c r="D46" s="1"/>
      <c r="E46" s="1" t="str">
        <f>IF(ISERROR(VLOOKUP(D46,Categorias!A:B,2,0)),"",VLOOKUP(D46,Categorias!A:B,2,0))</f>
        <v/>
      </c>
      <c r="F46" s="80"/>
      <c r="G46" s="5"/>
      <c r="H46" s="73"/>
    </row>
    <row r="47" spans="2:8" ht="13.8">
      <c r="B47" s="75"/>
      <c r="D47" s="1"/>
      <c r="E47" s="1" t="str">
        <f>IF(ISERROR(VLOOKUP(D47,Categorias!A:B,2,0)),"",VLOOKUP(D47,Categorias!A:B,2,0))</f>
        <v/>
      </c>
      <c r="F47" s="80"/>
      <c r="G47" s="5"/>
      <c r="H47" s="73"/>
    </row>
    <row r="48" spans="2:8" ht="13.8">
      <c r="B48" s="75"/>
      <c r="D48" s="1"/>
      <c r="E48" s="1" t="str">
        <f>IF(ISERROR(VLOOKUP(D48,Categorias!A:B,2,0)),"",VLOOKUP(D48,Categorias!A:B,2,0))</f>
        <v/>
      </c>
      <c r="F48" s="80"/>
      <c r="G48" s="5"/>
      <c r="H48" s="73"/>
    </row>
    <row r="49" spans="2:8" ht="13.8">
      <c r="B49" s="75"/>
      <c r="D49" s="1"/>
      <c r="E49" s="1" t="str">
        <f>IF(ISERROR(VLOOKUP(D49,Categorias!A:B,2,0)),"",VLOOKUP(D49,Categorias!A:B,2,0))</f>
        <v/>
      </c>
      <c r="F49" s="80"/>
      <c r="G49" s="5"/>
      <c r="H49" s="73"/>
    </row>
    <row r="50" spans="2:8" ht="13.8">
      <c r="B50" s="75"/>
      <c r="D50" s="1"/>
      <c r="E50" s="1" t="str">
        <f>IF(ISERROR(VLOOKUP(D50,Categorias!A:B,2,0)),"",VLOOKUP(D50,Categorias!A:B,2,0))</f>
        <v/>
      </c>
      <c r="F50" s="80"/>
      <c r="G50" s="5"/>
      <c r="H50" s="73"/>
    </row>
    <row r="51" spans="2:8" ht="13.8">
      <c r="B51" s="75"/>
      <c r="D51" s="1"/>
      <c r="E51" s="1" t="str">
        <f>IF(ISERROR(VLOOKUP(D51,Categorias!A:B,2,0)),"",VLOOKUP(D51,Categorias!A:B,2,0))</f>
        <v/>
      </c>
      <c r="F51" s="80"/>
      <c r="G51" s="5"/>
      <c r="H51" s="73"/>
    </row>
    <row r="52" spans="2:8" ht="13.8">
      <c r="B52" s="75"/>
      <c r="D52" s="1"/>
      <c r="E52" s="1" t="str">
        <f>IF(ISERROR(VLOOKUP(D52,Categorias!A:B,2,0)),"",VLOOKUP(D52,Categorias!A:B,2,0))</f>
        <v/>
      </c>
      <c r="F52" s="80"/>
      <c r="G52" s="5"/>
      <c r="H52" s="73"/>
    </row>
    <row r="53" spans="2:8" ht="13.8">
      <c r="B53" s="75"/>
      <c r="D53" s="1"/>
      <c r="E53" s="1" t="str">
        <f>IF(ISERROR(VLOOKUP(D53,Categorias!A:B,2,0)),"",VLOOKUP(D53,Categorias!A:B,2,0))</f>
        <v/>
      </c>
      <c r="F53" s="80"/>
      <c r="G53" s="5"/>
      <c r="H53" s="73"/>
    </row>
    <row r="54" spans="2:8" ht="13.8">
      <c r="B54" s="75"/>
      <c r="C54" s="70"/>
      <c r="D54" s="1"/>
      <c r="E54" s="1" t="str">
        <f>IF(ISERROR(VLOOKUP(D54,Categorias!A:B,2,0)),"",VLOOKUP(D54,Categorias!A:B,2,0))</f>
        <v/>
      </c>
      <c r="F54" s="80"/>
      <c r="G54" s="5"/>
      <c r="H54" s="73"/>
    </row>
    <row r="55" spans="2:8" ht="13.8">
      <c r="B55" s="75"/>
      <c r="D55" s="1"/>
      <c r="E55" s="1" t="str">
        <f>IF(ISERROR(VLOOKUP(D55,Categorias!A:B,2,0)),"",VLOOKUP(D55,Categorias!A:B,2,0))</f>
        <v/>
      </c>
      <c r="F55" s="80"/>
      <c r="G55" s="5"/>
      <c r="H55" s="73"/>
    </row>
    <row r="56" spans="2:8" ht="13.8">
      <c r="B56" s="75"/>
      <c r="D56" s="1"/>
      <c r="E56" s="1" t="str">
        <f>IF(ISERROR(VLOOKUP(D56,Categorias!A:B,2,0)),"",VLOOKUP(D56,Categorias!A:B,2,0))</f>
        <v/>
      </c>
      <c r="F56" s="80"/>
      <c r="G56" s="5"/>
      <c r="H56" s="73"/>
    </row>
    <row r="57" spans="2:8" ht="13.8">
      <c r="B57" s="75"/>
      <c r="D57" s="1"/>
      <c r="E57" s="1" t="str">
        <f>IF(ISERROR(VLOOKUP(D57,Categorias!A:B,2,0)),"",VLOOKUP(D57,Categorias!A:B,2,0))</f>
        <v/>
      </c>
      <c r="F57" s="80"/>
      <c r="G57" s="5"/>
      <c r="H57" s="73"/>
    </row>
    <row r="58" spans="2:8" ht="13.8">
      <c r="B58" s="75"/>
      <c r="D58" s="1"/>
      <c r="E58" s="1" t="str">
        <f>IF(ISERROR(VLOOKUP(D58,Categorias!A:B,2,0)),"",VLOOKUP(D58,Categorias!A:B,2,0))</f>
        <v/>
      </c>
      <c r="F58" s="80"/>
      <c r="G58" s="5"/>
      <c r="H58" s="73"/>
    </row>
    <row r="59" spans="2:8" ht="13.8">
      <c r="B59" s="75"/>
      <c r="D59" s="1"/>
      <c r="E59" s="1" t="str">
        <f>IF(ISERROR(VLOOKUP(D59,Categorias!A:B,2,0)),"",VLOOKUP(D59,Categorias!A:B,2,0))</f>
        <v/>
      </c>
      <c r="F59" s="80"/>
      <c r="G59" s="5"/>
      <c r="H59" s="73"/>
    </row>
    <row r="60" spans="2:8" ht="13.8">
      <c r="B60" s="75"/>
      <c r="D60" s="1"/>
      <c r="E60" s="1" t="str">
        <f>IF(ISERROR(VLOOKUP(D60,Categorias!A:B,2,0)),"",VLOOKUP(D60,Categorias!A:B,2,0))</f>
        <v/>
      </c>
      <c r="F60" s="80"/>
      <c r="G60" s="5"/>
      <c r="H60" s="73"/>
    </row>
    <row r="61" spans="2:8" ht="13.8">
      <c r="B61" s="75"/>
      <c r="D61" s="1"/>
      <c r="E61" s="1" t="str">
        <f>IF(ISERROR(VLOOKUP(D61,Categorias!A:B,2,0)),"",VLOOKUP(D61,Categorias!A:B,2,0))</f>
        <v/>
      </c>
      <c r="F61" s="80"/>
      <c r="G61" s="5"/>
      <c r="H61" s="73"/>
    </row>
    <row r="62" spans="2:8" ht="13.8">
      <c r="B62" s="75"/>
      <c r="D62" s="1"/>
      <c r="E62" s="1" t="str">
        <f>IF(ISERROR(VLOOKUP(D62,Categorias!A:B,2,0)),"",VLOOKUP(D62,Categorias!A:B,2,0))</f>
        <v/>
      </c>
      <c r="F62" s="80"/>
      <c r="G62" s="5"/>
      <c r="H62" s="73"/>
    </row>
    <row r="63" spans="2:8" ht="13.8">
      <c r="B63" s="75"/>
      <c r="D63" s="1"/>
      <c r="E63" s="1" t="str">
        <f>IF(ISERROR(VLOOKUP(D63,Categorias!A:B,2,0)),"",VLOOKUP(D63,Categorias!A:B,2,0))</f>
        <v/>
      </c>
      <c r="F63" s="80"/>
      <c r="G63" s="5"/>
      <c r="H63" s="73"/>
    </row>
    <row r="64" spans="2:8" ht="13.8">
      <c r="B64" s="75"/>
      <c r="D64" s="1"/>
      <c r="E64" s="1" t="str">
        <f>IF(ISERROR(VLOOKUP(D64,Categorias!A:B,2,0)),"",VLOOKUP(D64,Categorias!A:B,2,0))</f>
        <v/>
      </c>
      <c r="F64" s="80"/>
      <c r="G64" s="5"/>
      <c r="H64" s="73"/>
    </row>
    <row r="65" spans="2:8" ht="13.8">
      <c r="B65" s="75"/>
      <c r="D65" s="1"/>
      <c r="E65" s="1" t="str">
        <f>IF(ISERROR(VLOOKUP(D65,Categorias!A:B,2,0)),"",VLOOKUP(D65,Categorias!A:B,2,0))</f>
        <v/>
      </c>
      <c r="F65" s="80"/>
      <c r="G65" s="5"/>
      <c r="H65" s="73"/>
    </row>
    <row r="66" spans="2:8" ht="13.8">
      <c r="B66" s="75"/>
      <c r="D66" s="1"/>
      <c r="E66" s="1" t="str">
        <f>IF(ISERROR(VLOOKUP(D66,Categorias!A:B,2,0)),"",VLOOKUP(D66,Categorias!A:B,2,0))</f>
        <v/>
      </c>
      <c r="F66" s="80"/>
      <c r="G66" s="5"/>
      <c r="H66" s="73"/>
    </row>
    <row r="67" spans="2:8" ht="13.8">
      <c r="B67" s="75"/>
      <c r="D67" s="1"/>
      <c r="E67" s="1" t="str">
        <f>IF(ISERROR(VLOOKUP(D67,Categorias!A:B,2,0)),"",VLOOKUP(D67,Categorias!A:B,2,0))</f>
        <v/>
      </c>
      <c r="F67" s="80"/>
      <c r="G67" s="5"/>
      <c r="H67" s="73"/>
    </row>
    <row r="68" spans="2:8" ht="13.8">
      <c r="B68" s="75"/>
      <c r="D68" s="1"/>
      <c r="E68" s="1" t="str">
        <f>IF(ISERROR(VLOOKUP(D68,Categorias!A:B,2,0)),"",VLOOKUP(D68,Categorias!A:B,2,0))</f>
        <v/>
      </c>
      <c r="F68" s="80"/>
      <c r="G68" s="5"/>
      <c r="H68" s="73"/>
    </row>
    <row r="69" spans="2:8" ht="13.8">
      <c r="B69" s="75"/>
      <c r="D69" s="1"/>
      <c r="E69" s="1" t="str">
        <f>IF(ISERROR(VLOOKUP(D69,Categorias!A:B,2,0)),"",VLOOKUP(D69,Categorias!A:B,2,0))</f>
        <v/>
      </c>
      <c r="F69" s="80"/>
      <c r="G69" s="5"/>
      <c r="H69" s="73"/>
    </row>
    <row r="70" spans="2:8" ht="13.8">
      <c r="B70" s="75"/>
      <c r="D70" s="1"/>
      <c r="E70" s="1" t="str">
        <f>IF(ISERROR(VLOOKUP(D70,Categorias!A:B,2,0)),"",VLOOKUP(D70,Categorias!A:B,2,0))</f>
        <v/>
      </c>
      <c r="F70" s="80"/>
      <c r="G70" s="5"/>
      <c r="H70" s="73"/>
    </row>
    <row r="71" spans="2:8" ht="13.8">
      <c r="B71" s="75"/>
      <c r="D71" s="1"/>
      <c r="E71" s="1" t="str">
        <f>IF(ISERROR(VLOOKUP(D71,Categorias!A:B,2,0)),"",VLOOKUP(D71,Categorias!A:B,2,0))</f>
        <v/>
      </c>
      <c r="F71" s="80"/>
      <c r="G71" s="5"/>
      <c r="H71" s="73"/>
    </row>
    <row r="72" spans="2:8" ht="13.8">
      <c r="B72" s="75"/>
      <c r="D72" s="1"/>
      <c r="E72" s="1" t="str">
        <f>IF(ISERROR(VLOOKUP(D72,Categorias!A:B,2,0)),"",VLOOKUP(D72,Categorias!A:B,2,0))</f>
        <v/>
      </c>
      <c r="F72" s="80"/>
      <c r="G72" s="5"/>
      <c r="H72" s="73"/>
    </row>
    <row r="73" spans="2:8" ht="13.8">
      <c r="B73" s="75"/>
      <c r="D73" s="1"/>
      <c r="E73" s="1" t="str">
        <f>IF(ISERROR(VLOOKUP(D73,Categorias!A:B,2,0)),"",VLOOKUP(D73,Categorias!A:B,2,0))</f>
        <v/>
      </c>
      <c r="F73" s="80"/>
      <c r="G73" s="5"/>
      <c r="H73" s="73"/>
    </row>
    <row r="74" spans="2:8" ht="13.8">
      <c r="B74" s="75"/>
      <c r="D74" s="1"/>
      <c r="E74" s="1" t="str">
        <f>IF(ISERROR(VLOOKUP(D74,Categorias!A:B,2,0)),"",VLOOKUP(D74,Categorias!A:B,2,0))</f>
        <v/>
      </c>
      <c r="F74" s="80"/>
      <c r="G74" s="5"/>
      <c r="H74" s="73"/>
    </row>
    <row r="75" spans="2:8" ht="13.8">
      <c r="B75" s="75"/>
      <c r="D75" s="1"/>
      <c r="E75" s="1" t="str">
        <f>IF(ISERROR(VLOOKUP(D75,Categorias!A:B,2,0)),"",VLOOKUP(D75,Categorias!A:B,2,0))</f>
        <v/>
      </c>
      <c r="F75" s="80"/>
      <c r="G75" s="5"/>
      <c r="H75" s="73"/>
    </row>
    <row r="76" spans="2:8" ht="13.8">
      <c r="B76" s="75"/>
      <c r="D76" s="1"/>
      <c r="E76" s="1" t="str">
        <f>IF(ISERROR(VLOOKUP(D76,Categorias!A:B,2,0)),"",VLOOKUP(D76,Categorias!A:B,2,0))</f>
        <v/>
      </c>
      <c r="F76" s="80"/>
      <c r="G76" s="5"/>
      <c r="H76" s="73"/>
    </row>
    <row r="77" spans="2:8" ht="13.8">
      <c r="B77" s="75"/>
      <c r="D77" s="1"/>
      <c r="E77" s="1" t="str">
        <f>IF(ISERROR(VLOOKUP(D77,Categorias!A:B,2,0)),"",VLOOKUP(D77,Categorias!A:B,2,0))</f>
        <v/>
      </c>
      <c r="F77" s="80"/>
      <c r="G77" s="5"/>
      <c r="H77" s="73"/>
    </row>
    <row r="78" spans="2:8" ht="13.8">
      <c r="B78" s="75"/>
      <c r="D78" s="1"/>
      <c r="E78" s="1" t="str">
        <f>IF(ISERROR(VLOOKUP(D78,Categorias!A:B,2,0)),"",VLOOKUP(D78,Categorias!A:B,2,0))</f>
        <v/>
      </c>
      <c r="F78" s="80"/>
      <c r="G78" s="5"/>
      <c r="H78" s="73"/>
    </row>
    <row r="79" spans="2:8" ht="13.8">
      <c r="B79" s="75"/>
      <c r="D79" s="1"/>
      <c r="E79" s="1" t="str">
        <f>IF(ISERROR(VLOOKUP(D79,Categorias!A:B,2,0)),"",VLOOKUP(D79,Categorias!A:B,2,0))</f>
        <v/>
      </c>
      <c r="F79" s="80"/>
      <c r="G79" s="5"/>
      <c r="H79" s="73"/>
    </row>
    <row r="80" spans="2:8" ht="13.8">
      <c r="B80" s="75"/>
      <c r="D80" s="1"/>
      <c r="E80" s="1" t="str">
        <f>IF(ISERROR(VLOOKUP(D80,Categorias!A:B,2,0)),"",VLOOKUP(D80,Categorias!A:B,2,0))</f>
        <v/>
      </c>
      <c r="F80" s="80"/>
      <c r="G80" s="5"/>
      <c r="H80" s="73"/>
    </row>
    <row r="81" spans="2:8" ht="13.8">
      <c r="B81" s="75"/>
      <c r="D81" s="1"/>
      <c r="E81" s="1" t="str">
        <f>IF(ISERROR(VLOOKUP(D81,Categorias!A:B,2,0)),"",VLOOKUP(D81,Categorias!A:B,2,0))</f>
        <v/>
      </c>
      <c r="F81" s="80"/>
      <c r="G81" s="5"/>
      <c r="H81" s="73"/>
    </row>
    <row r="82" spans="2:8" ht="13.8">
      <c r="B82" s="75"/>
      <c r="D82" s="1"/>
      <c r="E82" s="1" t="str">
        <f>IF(ISERROR(VLOOKUP(D82,Categorias!A:B,2,0)),"",VLOOKUP(D82,Categorias!A:B,2,0))</f>
        <v/>
      </c>
      <c r="F82" s="80"/>
      <c r="G82" s="5"/>
      <c r="H82" s="73"/>
    </row>
    <row r="83" spans="2:8" ht="13.8">
      <c r="B83" s="75"/>
      <c r="D83" s="1"/>
      <c r="E83" s="1" t="str">
        <f>IF(ISERROR(VLOOKUP(D83,Categorias!A:B,2,0)),"",VLOOKUP(D83,Categorias!A:B,2,0))</f>
        <v/>
      </c>
      <c r="F83" s="80"/>
      <c r="G83" s="5"/>
      <c r="H83" s="73"/>
    </row>
    <row r="84" spans="2:8" ht="13.8">
      <c r="B84" s="75"/>
      <c r="D84" s="1"/>
      <c r="E84" s="1" t="str">
        <f>IF(ISERROR(VLOOKUP(D84,Categorias!A:B,2,0)),"",VLOOKUP(D84,Categorias!A:B,2,0))</f>
        <v/>
      </c>
      <c r="F84" s="80"/>
      <c r="G84" s="5"/>
      <c r="H84" s="73"/>
    </row>
    <row r="85" spans="2:8" ht="13.8">
      <c r="B85" s="75"/>
      <c r="D85" s="1"/>
      <c r="E85" s="1" t="str">
        <f>IF(ISERROR(VLOOKUP(D85,Categorias!A:B,2,0)),"",VLOOKUP(D85,Categorias!A:B,2,0))</f>
        <v/>
      </c>
      <c r="F85" s="80"/>
      <c r="G85" s="5"/>
      <c r="H85" s="73"/>
    </row>
    <row r="86" spans="2:8" ht="13.8">
      <c r="B86" s="75"/>
      <c r="D86" s="1"/>
      <c r="E86" s="1" t="str">
        <f>IF(ISERROR(VLOOKUP(D86,Categorias!A:B,2,0)),"",VLOOKUP(D86,Categorias!A:B,2,0))</f>
        <v/>
      </c>
      <c r="F86" s="80"/>
      <c r="G86" s="5"/>
      <c r="H86" s="73"/>
    </row>
    <row r="87" spans="2:8" ht="13.8">
      <c r="B87" s="75"/>
      <c r="D87" s="1"/>
      <c r="E87" s="1" t="str">
        <f>IF(ISERROR(VLOOKUP(D87,Categorias!A:B,2,0)),"",VLOOKUP(D87,Categorias!A:B,2,0))</f>
        <v/>
      </c>
      <c r="F87" s="80"/>
      <c r="G87" s="5"/>
      <c r="H87" s="73"/>
    </row>
    <row r="88" spans="2:8" ht="13.8">
      <c r="B88" s="75"/>
      <c r="D88" s="1"/>
      <c r="E88" s="1" t="str">
        <f>IF(ISERROR(VLOOKUP(D88,Categorias!A:B,2,0)),"",VLOOKUP(D88,Categorias!A:B,2,0))</f>
        <v/>
      </c>
      <c r="F88" s="80"/>
      <c r="G88" s="5"/>
      <c r="H88" s="73"/>
    </row>
    <row r="89" spans="2:8" ht="13.8">
      <c r="B89" s="75"/>
      <c r="D89" s="1"/>
      <c r="E89" s="1" t="str">
        <f>IF(ISERROR(VLOOKUP(D89,Categorias!A:B,2,0)),"",VLOOKUP(D89,Categorias!A:B,2,0))</f>
        <v/>
      </c>
      <c r="F89" s="80"/>
      <c r="G89" s="5"/>
      <c r="H89" s="73"/>
    </row>
    <row r="90" spans="2:8" ht="13.8">
      <c r="B90" s="75"/>
      <c r="D90" s="1"/>
      <c r="E90" s="1" t="str">
        <f>IF(ISERROR(VLOOKUP(D90,Categorias!A:B,2,0)),"",VLOOKUP(D90,Categorias!A:B,2,0))</f>
        <v/>
      </c>
      <c r="F90" s="80"/>
      <c r="G90" s="5"/>
      <c r="H90" s="73"/>
    </row>
    <row r="91" spans="2:8" ht="13.8">
      <c r="B91" s="75"/>
      <c r="D91" s="1"/>
      <c r="E91" s="1" t="str">
        <f>IF(ISERROR(VLOOKUP(D91,Categorias!A:B,2,0)),"",VLOOKUP(D91,Categorias!A:B,2,0))</f>
        <v/>
      </c>
      <c r="F91" s="80"/>
      <c r="G91" s="5"/>
      <c r="H91" s="73"/>
    </row>
    <row r="92" spans="2:8" ht="13.8">
      <c r="B92" s="75"/>
      <c r="D92" s="1"/>
      <c r="E92" s="1" t="str">
        <f>IF(ISERROR(VLOOKUP(D92,Categorias!A:B,2,0)),"",VLOOKUP(D92,Categorias!A:B,2,0))</f>
        <v/>
      </c>
      <c r="F92" s="80"/>
      <c r="G92" s="5"/>
      <c r="H92" s="73"/>
    </row>
    <row r="93" spans="2:8" ht="13.8">
      <c r="B93" s="75"/>
      <c r="D93" s="1"/>
      <c r="E93" s="1" t="str">
        <f>IF(ISERROR(VLOOKUP(D93,Categorias!A:B,2,0)),"",VLOOKUP(D93,Categorias!A:B,2,0))</f>
        <v/>
      </c>
      <c r="F93" s="80"/>
      <c r="G93" s="5"/>
      <c r="H93" s="73"/>
    </row>
    <row r="94" spans="2:8" ht="13.8">
      <c r="B94" s="75"/>
      <c r="D94" s="1"/>
      <c r="E94" s="1" t="str">
        <f>IF(ISERROR(VLOOKUP(D94,Categorias!A:B,2,0)),"",VLOOKUP(D94,Categorias!A:B,2,0))</f>
        <v/>
      </c>
      <c r="F94" s="80"/>
      <c r="G94" s="5"/>
      <c r="H94" s="73"/>
    </row>
    <row r="95" spans="2:8" ht="13.8">
      <c r="B95" s="75"/>
      <c r="D95" s="1"/>
      <c r="E95" s="1" t="str">
        <f>IF(ISERROR(VLOOKUP(D95,Categorias!A:B,2,0)),"",VLOOKUP(D95,Categorias!A:B,2,0))</f>
        <v/>
      </c>
      <c r="F95" s="80"/>
      <c r="G95" s="5"/>
      <c r="H95" s="73"/>
    </row>
    <row r="96" spans="2:8" ht="13.8">
      <c r="B96" s="75"/>
      <c r="D96" s="1"/>
      <c r="E96" s="1" t="str">
        <f>IF(ISERROR(VLOOKUP(D96,Categorias!A:B,2,0)),"",VLOOKUP(D96,Categorias!A:B,2,0))</f>
        <v/>
      </c>
      <c r="F96" s="80"/>
      <c r="G96" s="5"/>
      <c r="H96" s="73"/>
    </row>
    <row r="97" spans="2:8" ht="13.8">
      <c r="B97" s="75"/>
      <c r="D97" s="1"/>
      <c r="E97" s="1" t="str">
        <f>IF(ISERROR(VLOOKUP(D97,Categorias!A:B,2,0)),"",VLOOKUP(D97,Categorias!A:B,2,0))</f>
        <v/>
      </c>
      <c r="F97" s="80"/>
      <c r="G97" s="5"/>
      <c r="H97" s="73"/>
    </row>
    <row r="98" spans="2:8" ht="13.8">
      <c r="B98" s="75"/>
      <c r="D98" s="1"/>
      <c r="E98" s="1" t="str">
        <f>IF(ISERROR(VLOOKUP(D98,Categorias!A:B,2,0)),"",VLOOKUP(D98,Categorias!A:B,2,0))</f>
        <v/>
      </c>
      <c r="F98" s="80"/>
      <c r="G98" s="5"/>
      <c r="H98" s="73"/>
    </row>
    <row r="99" spans="2:8" ht="13.8">
      <c r="B99" s="75"/>
      <c r="D99" s="1"/>
      <c r="E99" s="1" t="str">
        <f>IF(ISERROR(VLOOKUP(D99,Categorias!A:B,2,0)),"",VLOOKUP(D99,Categorias!A:B,2,0))</f>
        <v/>
      </c>
      <c r="F99" s="80"/>
      <c r="G99" s="5"/>
      <c r="H99" s="73"/>
    </row>
    <row r="100" spans="2:8" ht="13.8">
      <c r="B100" s="75"/>
      <c r="D100" s="1"/>
      <c r="E100" s="1" t="str">
        <f>IF(ISERROR(VLOOKUP(D100,Categorias!A:B,2,0)),"",VLOOKUP(D100,Categorias!A:B,2,0))</f>
        <v/>
      </c>
      <c r="F100" s="80"/>
      <c r="G100" s="5"/>
      <c r="H100" s="73"/>
    </row>
    <row r="101" spans="2:8" ht="13.8">
      <c r="B101" s="75"/>
      <c r="D101" s="1"/>
      <c r="E101" s="1" t="str">
        <f>IF(ISERROR(VLOOKUP(D101,Categorias!A:B,2,0)),"",VLOOKUP(D101,Categorias!A:B,2,0))</f>
        <v/>
      </c>
      <c r="F101" s="80"/>
      <c r="G101" s="5"/>
      <c r="H101" s="73"/>
    </row>
    <row r="102" spans="2:8" ht="13.8">
      <c r="B102" s="75"/>
      <c r="D102" s="1"/>
      <c r="E102" s="1" t="str">
        <f>IF(ISERROR(VLOOKUP(D102,Categorias!A:B,2,0)),"",VLOOKUP(D102,Categorias!A:B,2,0))</f>
        <v/>
      </c>
      <c r="F102" s="80"/>
      <c r="G102" s="5"/>
      <c r="H102" s="73"/>
    </row>
    <row r="103" spans="2:8" ht="13.8">
      <c r="B103" s="75"/>
      <c r="D103" s="1"/>
      <c r="E103" s="1" t="str">
        <f>IF(ISERROR(VLOOKUP(D103,Categorias!A:B,2,0)),"",VLOOKUP(D103,Categorias!A:B,2,0))</f>
        <v/>
      </c>
      <c r="F103" s="80"/>
      <c r="G103" s="5"/>
      <c r="H103" s="73"/>
    </row>
    <row r="104" spans="2:8" ht="13.8">
      <c r="B104" s="75"/>
      <c r="D104" s="1"/>
      <c r="E104" s="1" t="str">
        <f>IF(ISERROR(VLOOKUP(D104,Categorias!A:B,2,0)),"",VLOOKUP(D104,Categorias!A:B,2,0))</f>
        <v/>
      </c>
      <c r="F104" s="80"/>
      <c r="G104" s="5"/>
      <c r="H104" s="73"/>
    </row>
    <row r="105" spans="2:8" ht="13.8">
      <c r="B105" s="75"/>
      <c r="D105" s="1"/>
      <c r="E105" s="1" t="str">
        <f>IF(ISERROR(VLOOKUP(D105,Categorias!A:B,2,0)),"",VLOOKUP(D105,Categorias!A:B,2,0))</f>
        <v/>
      </c>
      <c r="F105" s="80"/>
      <c r="G105" s="5"/>
      <c r="H105" s="73"/>
    </row>
    <row r="106" spans="2:8" ht="13.8">
      <c r="B106" s="75"/>
      <c r="D106" s="1"/>
      <c r="E106" s="1" t="str">
        <f>IF(ISERROR(VLOOKUP(D106,Categorias!A:B,2,0)),"",VLOOKUP(D106,Categorias!A:B,2,0))</f>
        <v/>
      </c>
      <c r="F106" s="80"/>
      <c r="G106" s="5"/>
      <c r="H106" s="73"/>
    </row>
    <row r="107" spans="2:8" ht="13.8">
      <c r="B107" s="75"/>
      <c r="D107" s="1"/>
      <c r="E107" s="1" t="str">
        <f>IF(ISERROR(VLOOKUP(D107,Categorias!A:B,2,0)),"",VLOOKUP(D107,Categorias!A:B,2,0))</f>
        <v/>
      </c>
      <c r="F107" s="80"/>
      <c r="G107" s="5"/>
      <c r="H107" s="73"/>
    </row>
    <row r="108" spans="2:8" ht="13.8">
      <c r="B108" s="75"/>
      <c r="D108" s="1"/>
      <c r="E108" s="1" t="str">
        <f>IF(ISERROR(VLOOKUP(D108,Categorias!A:B,2,0)),"",VLOOKUP(D108,Categorias!A:B,2,0))</f>
        <v/>
      </c>
      <c r="F108" s="80"/>
      <c r="G108" s="5"/>
      <c r="H108" s="73"/>
    </row>
    <row r="109" spans="2:8" ht="13.8">
      <c r="B109" s="75"/>
      <c r="D109" s="1"/>
      <c r="E109" s="1" t="str">
        <f>IF(ISERROR(VLOOKUP(D109,Categorias!A:B,2,0)),"",VLOOKUP(D109,Categorias!A:B,2,0))</f>
        <v/>
      </c>
      <c r="F109" s="80"/>
      <c r="G109" s="5"/>
      <c r="H109" s="73"/>
    </row>
    <row r="110" spans="2:8" ht="13.8">
      <c r="B110" s="75"/>
      <c r="D110" s="1"/>
      <c r="E110" s="1" t="str">
        <f>IF(ISERROR(VLOOKUP(D110,Categorias!A:B,2,0)),"",VLOOKUP(D110,Categorias!A:B,2,0))</f>
        <v/>
      </c>
      <c r="F110" s="80"/>
      <c r="G110" s="5"/>
      <c r="H110" s="73"/>
    </row>
    <row r="111" spans="2:8" ht="13.8">
      <c r="B111" s="75"/>
      <c r="D111" s="1"/>
      <c r="E111" s="1" t="str">
        <f>IF(ISERROR(VLOOKUP(D111,Categorias!A:B,2,0)),"",VLOOKUP(D111,Categorias!A:B,2,0))</f>
        <v/>
      </c>
      <c r="F111" s="80"/>
      <c r="G111" s="5"/>
      <c r="H111" s="73"/>
    </row>
    <row r="112" spans="2:8" ht="13.8">
      <c r="B112" s="75"/>
      <c r="D112" s="1"/>
      <c r="E112" s="1" t="str">
        <f>IF(ISERROR(VLOOKUP(D112,Categorias!A:B,2,0)),"",VLOOKUP(D112,Categorias!A:B,2,0))</f>
        <v/>
      </c>
      <c r="F112" s="80"/>
      <c r="G112" s="5"/>
      <c r="H112" s="73"/>
    </row>
    <row r="113" spans="2:8" ht="13.8">
      <c r="B113" s="75"/>
      <c r="D113" s="1"/>
      <c r="E113" s="1" t="str">
        <f>IF(ISERROR(VLOOKUP(D113,Categorias!A:B,2,0)),"",VLOOKUP(D113,Categorias!A:B,2,0))</f>
        <v/>
      </c>
      <c r="F113" s="80"/>
      <c r="G113" s="5"/>
      <c r="H113" s="73"/>
    </row>
    <row r="114" spans="2:8" ht="13.8">
      <c r="B114" s="75"/>
      <c r="D114" s="1"/>
      <c r="E114" s="1" t="str">
        <f>IF(ISERROR(VLOOKUP(D114,Categorias!A:B,2,0)),"",VLOOKUP(D114,Categorias!A:B,2,0))</f>
        <v/>
      </c>
      <c r="F114" s="80"/>
      <c r="G114" s="5"/>
      <c r="H114" s="73"/>
    </row>
    <row r="115" spans="2:8" ht="13.8">
      <c r="B115" s="75"/>
      <c r="D115" s="1"/>
      <c r="E115" s="1" t="str">
        <f>IF(ISERROR(VLOOKUP(D115,Categorias!A:B,2,0)),"",VLOOKUP(D115,Categorias!A:B,2,0))</f>
        <v/>
      </c>
      <c r="F115" s="80"/>
      <c r="G115" s="5"/>
      <c r="H115" s="73"/>
    </row>
    <row r="116" spans="2:8" ht="13.8">
      <c r="B116" s="75"/>
      <c r="D116" s="1"/>
      <c r="E116" s="1" t="str">
        <f>IF(ISERROR(VLOOKUP(D116,Categorias!A:B,2,0)),"",VLOOKUP(D116,Categorias!A:B,2,0))</f>
        <v/>
      </c>
      <c r="F116" s="80"/>
      <c r="G116" s="5"/>
      <c r="H116" s="73"/>
    </row>
    <row r="117" spans="2:8" ht="13.8">
      <c r="B117" s="75"/>
      <c r="D117" s="1"/>
      <c r="E117" s="1" t="str">
        <f>IF(ISERROR(VLOOKUP(D117,Categorias!A:B,2,0)),"",VLOOKUP(D117,Categorias!A:B,2,0))</f>
        <v/>
      </c>
      <c r="F117" s="80"/>
      <c r="G117" s="5"/>
      <c r="H117" s="73"/>
    </row>
    <row r="118" spans="2:8" ht="13.8">
      <c r="B118" s="75"/>
      <c r="D118" s="1"/>
      <c r="E118" s="1" t="str">
        <f>IF(ISERROR(VLOOKUP(D118,Categorias!A:B,2,0)),"",VLOOKUP(D118,Categorias!A:B,2,0))</f>
        <v/>
      </c>
      <c r="F118" s="80"/>
      <c r="G118" s="5"/>
      <c r="H118" s="73"/>
    </row>
    <row r="119" spans="2:8" ht="13.8">
      <c r="B119" s="75"/>
      <c r="D119" s="1"/>
      <c r="E119" s="1" t="str">
        <f>IF(ISERROR(VLOOKUP(D119,Categorias!A:B,2,0)),"",VLOOKUP(D119,Categorias!A:B,2,0))</f>
        <v/>
      </c>
      <c r="F119" s="80"/>
      <c r="G119" s="5"/>
      <c r="H119" s="73"/>
    </row>
    <row r="120" spans="2:8" ht="13.8">
      <c r="B120" s="75"/>
      <c r="D120" s="1"/>
      <c r="E120" s="1" t="str">
        <f>IF(ISERROR(VLOOKUP(D120,Categorias!A:B,2,0)),"",VLOOKUP(D120,Categorias!A:B,2,0))</f>
        <v/>
      </c>
      <c r="F120" s="80"/>
      <c r="G120" s="5"/>
      <c r="H120" s="73"/>
    </row>
    <row r="121" spans="2:8" ht="13.8">
      <c r="B121" s="75"/>
      <c r="D121" s="1"/>
      <c r="E121" s="1" t="str">
        <f>IF(ISERROR(VLOOKUP(D121,Categorias!A:B,2,0)),"",VLOOKUP(D121,Categorias!A:B,2,0))</f>
        <v/>
      </c>
      <c r="F121" s="80"/>
      <c r="G121" s="5"/>
      <c r="H121" s="73"/>
    </row>
    <row r="122" spans="2:8" ht="13.8">
      <c r="B122" s="75"/>
      <c r="D122" s="1"/>
      <c r="E122" s="1" t="str">
        <f>IF(ISERROR(VLOOKUP(D122,Categorias!A:B,2,0)),"",VLOOKUP(D122,Categorias!A:B,2,0))</f>
        <v/>
      </c>
      <c r="F122" s="80"/>
      <c r="G122" s="5"/>
      <c r="H122" s="73"/>
    </row>
    <row r="123" spans="2:8" ht="13.8">
      <c r="B123" s="75"/>
      <c r="D123" s="1"/>
      <c r="E123" s="1" t="str">
        <f>IF(ISERROR(VLOOKUP(D123,Categorias!A:B,2,0)),"",VLOOKUP(D123,Categorias!A:B,2,0))</f>
        <v/>
      </c>
      <c r="F123" s="80"/>
      <c r="G123" s="5"/>
      <c r="H123" s="73"/>
    </row>
    <row r="124" spans="2:8" ht="13.8">
      <c r="B124" s="75"/>
      <c r="D124" s="1"/>
      <c r="E124" s="1" t="str">
        <f>IF(ISERROR(VLOOKUP(D124,Categorias!A:B,2,0)),"",VLOOKUP(D124,Categorias!A:B,2,0))</f>
        <v/>
      </c>
      <c r="F124" s="80"/>
      <c r="G124" s="5"/>
      <c r="H124" s="73"/>
    </row>
    <row r="125" spans="2:8" ht="13.8">
      <c r="B125" s="75"/>
      <c r="D125" s="1"/>
      <c r="E125" s="1" t="str">
        <f>IF(ISERROR(VLOOKUP(D125,Categorias!A:B,2,0)),"",VLOOKUP(D125,Categorias!A:B,2,0))</f>
        <v/>
      </c>
      <c r="F125" s="80"/>
      <c r="G125" s="5"/>
      <c r="H125" s="73"/>
    </row>
    <row r="126" spans="2:8" ht="13.8">
      <c r="B126" s="75"/>
      <c r="D126" s="1"/>
      <c r="E126" s="1" t="str">
        <f>IF(ISERROR(VLOOKUP(D126,Categorias!A:B,2,0)),"",VLOOKUP(D126,Categorias!A:B,2,0))</f>
        <v/>
      </c>
      <c r="F126" s="80"/>
      <c r="G126" s="5"/>
      <c r="H126" s="73"/>
    </row>
    <row r="127" spans="2:8" ht="13.8">
      <c r="B127" s="75"/>
      <c r="D127" s="1"/>
      <c r="E127" s="1" t="str">
        <f>IF(ISERROR(VLOOKUP(D127,Categorias!A:B,2,0)),"",VLOOKUP(D127,Categorias!A:B,2,0))</f>
        <v/>
      </c>
      <c r="F127" s="80"/>
      <c r="G127" s="5"/>
      <c r="H127" s="73"/>
    </row>
    <row r="128" spans="2:8" ht="13.8">
      <c r="B128" s="75"/>
      <c r="D128" s="1"/>
      <c r="E128" s="1" t="str">
        <f>IF(ISERROR(VLOOKUP(D128,Categorias!A:B,2,0)),"",VLOOKUP(D128,Categorias!A:B,2,0))</f>
        <v/>
      </c>
      <c r="F128" s="80"/>
      <c r="G128" s="5"/>
      <c r="H128" s="73"/>
    </row>
    <row r="129" spans="2:8" ht="13.8">
      <c r="B129" s="75"/>
      <c r="D129" s="1"/>
      <c r="E129" s="1" t="str">
        <f>IF(ISERROR(VLOOKUP(D129,Categorias!A:B,2,0)),"",VLOOKUP(D129,Categorias!A:B,2,0))</f>
        <v/>
      </c>
      <c r="F129" s="80"/>
      <c r="G129" s="5"/>
      <c r="H129" s="73"/>
    </row>
    <row r="130" spans="2:8" ht="13.8">
      <c r="B130" s="75"/>
      <c r="D130" s="1"/>
      <c r="E130" s="1" t="str">
        <f>IF(ISERROR(VLOOKUP(D130,Categorias!A:B,2,0)),"",VLOOKUP(D130,Categorias!A:B,2,0))</f>
        <v/>
      </c>
      <c r="F130" s="80"/>
      <c r="G130" s="5"/>
      <c r="H130" s="73"/>
    </row>
    <row r="131" spans="2:8" ht="13.8">
      <c r="B131" s="75"/>
      <c r="D131" s="1"/>
      <c r="E131" s="1" t="str">
        <f>IF(ISERROR(VLOOKUP(D131,Categorias!A:B,2,0)),"",VLOOKUP(D131,Categorias!A:B,2,0))</f>
        <v/>
      </c>
      <c r="F131" s="80"/>
      <c r="G131" s="5"/>
      <c r="H131" s="73"/>
    </row>
    <row r="132" spans="2:8" ht="13.8">
      <c r="B132" s="75"/>
      <c r="D132" s="1"/>
      <c r="E132" s="1" t="str">
        <f>IF(ISERROR(VLOOKUP(D132,Categorias!A:B,2,0)),"",VLOOKUP(D132,Categorias!A:B,2,0))</f>
        <v/>
      </c>
      <c r="F132" s="80"/>
      <c r="G132" s="5"/>
      <c r="H132" s="73"/>
    </row>
    <row r="133" spans="2:8" ht="13.8">
      <c r="B133" s="75"/>
      <c r="D133" s="1"/>
      <c r="E133" s="1" t="str">
        <f>IF(ISERROR(VLOOKUP(D133,Categorias!A:B,2,0)),"",VLOOKUP(D133,Categorias!A:B,2,0))</f>
        <v/>
      </c>
      <c r="F133" s="80"/>
      <c r="G133" s="5"/>
      <c r="H133" s="73"/>
    </row>
    <row r="134" spans="2:8" ht="13.8">
      <c r="B134" s="75"/>
      <c r="D134" s="1"/>
      <c r="E134" s="1" t="str">
        <f>IF(ISERROR(VLOOKUP(D134,Categorias!A:B,2,0)),"",VLOOKUP(D134,Categorias!A:B,2,0))</f>
        <v/>
      </c>
      <c r="F134" s="80"/>
      <c r="G134" s="5"/>
      <c r="H134" s="73"/>
    </row>
    <row r="135" spans="2:8" ht="13.8">
      <c r="B135" s="75"/>
      <c r="D135" s="1"/>
      <c r="E135" s="1" t="str">
        <f>IF(ISERROR(VLOOKUP(D135,Categorias!A:B,2,0)),"",VLOOKUP(D135,Categorias!A:B,2,0))</f>
        <v/>
      </c>
      <c r="F135" s="80"/>
      <c r="G135" s="5"/>
      <c r="H135" s="73"/>
    </row>
    <row r="136" spans="2:8" ht="13.8">
      <c r="B136" s="75"/>
      <c r="D136" s="1"/>
      <c r="E136" s="1" t="str">
        <f>IF(ISERROR(VLOOKUP(D136,Categorias!A:B,2,0)),"",VLOOKUP(D136,Categorias!A:B,2,0))</f>
        <v/>
      </c>
      <c r="F136" s="80"/>
      <c r="G136" s="5"/>
      <c r="H136" s="73"/>
    </row>
    <row r="137" spans="2:8" ht="13.8">
      <c r="B137" s="75"/>
      <c r="D137" s="1"/>
      <c r="E137" s="1" t="str">
        <f>IF(ISERROR(VLOOKUP(D137,Categorias!A:B,2,0)),"",VLOOKUP(D137,Categorias!A:B,2,0))</f>
        <v/>
      </c>
      <c r="F137" s="80"/>
      <c r="G137" s="5"/>
      <c r="H137" s="73"/>
    </row>
    <row r="138" spans="2:8" ht="13.8">
      <c r="B138" s="75"/>
      <c r="D138" s="1"/>
      <c r="E138" s="1" t="str">
        <f>IF(ISERROR(VLOOKUP(D138,Categorias!A:B,2,0)),"",VLOOKUP(D138,Categorias!A:B,2,0))</f>
        <v/>
      </c>
      <c r="F138" s="80"/>
      <c r="G138" s="5"/>
      <c r="H138" s="73"/>
    </row>
    <row r="139" spans="2:8" ht="13.8">
      <c r="B139" s="75"/>
      <c r="D139" s="1"/>
      <c r="E139" s="1" t="str">
        <f>IF(ISERROR(VLOOKUP(D139,Categorias!A:B,2,0)),"",VLOOKUP(D139,Categorias!A:B,2,0))</f>
        <v/>
      </c>
      <c r="F139" s="80"/>
      <c r="G139" s="5"/>
      <c r="H139" s="73"/>
    </row>
    <row r="140" spans="2:8" ht="13.8">
      <c r="B140" s="75"/>
      <c r="D140" s="1"/>
      <c r="E140" s="1" t="str">
        <f>IF(ISERROR(VLOOKUP(D140,Categorias!A:B,2,0)),"",VLOOKUP(D140,Categorias!A:B,2,0))</f>
        <v/>
      </c>
      <c r="F140" s="80"/>
      <c r="G140" s="5"/>
      <c r="H140" s="73"/>
    </row>
    <row r="141" spans="2:8" ht="13.8">
      <c r="B141" s="75"/>
      <c r="D141" s="1"/>
      <c r="E141" s="1" t="str">
        <f>IF(ISERROR(VLOOKUP(D141,Categorias!A:B,2,0)),"",VLOOKUP(D141,Categorias!A:B,2,0))</f>
        <v/>
      </c>
      <c r="F141" s="80"/>
      <c r="G141" s="5"/>
      <c r="H141" s="73"/>
    </row>
    <row r="142" spans="2:8" ht="13.8">
      <c r="B142" s="75"/>
      <c r="D142" s="1"/>
      <c r="E142" s="1" t="str">
        <f>IF(ISERROR(VLOOKUP(D142,Categorias!A:B,2,0)),"",VLOOKUP(D142,Categorias!A:B,2,0))</f>
        <v/>
      </c>
      <c r="F142" s="80"/>
      <c r="G142" s="5"/>
      <c r="H142" s="73"/>
    </row>
    <row r="143" spans="2:8" ht="13.8">
      <c r="B143" s="75"/>
      <c r="D143" s="1"/>
      <c r="E143" s="1" t="str">
        <f>IF(ISERROR(VLOOKUP(D143,Categorias!A:B,2,0)),"",VLOOKUP(D143,Categorias!A:B,2,0))</f>
        <v/>
      </c>
      <c r="F143" s="80"/>
      <c r="G143" s="5"/>
      <c r="H143" s="73"/>
    </row>
    <row r="144" spans="2:8" ht="13.8">
      <c r="B144" s="75"/>
      <c r="D144" s="1"/>
      <c r="E144" s="1" t="str">
        <f>IF(ISERROR(VLOOKUP(D144,Categorias!A:B,2,0)),"",VLOOKUP(D144,Categorias!A:B,2,0))</f>
        <v/>
      </c>
      <c r="F144" s="80"/>
      <c r="G144" s="5"/>
      <c r="H144" s="73"/>
    </row>
    <row r="145" spans="2:8" ht="13.8">
      <c r="B145" s="75"/>
      <c r="D145" s="1"/>
      <c r="E145" s="1" t="str">
        <f>IF(ISERROR(VLOOKUP(D145,Categorias!A:B,2,0)),"",VLOOKUP(D145,Categorias!A:B,2,0))</f>
        <v/>
      </c>
      <c r="F145" s="80"/>
      <c r="G145" s="5"/>
      <c r="H145" s="73"/>
    </row>
    <row r="146" spans="2:8" ht="13.8">
      <c r="B146" s="75"/>
      <c r="D146" s="1"/>
      <c r="E146" s="1" t="str">
        <f>IF(ISERROR(VLOOKUP(D146,Categorias!A:B,2,0)),"",VLOOKUP(D146,Categorias!A:B,2,0))</f>
        <v/>
      </c>
      <c r="F146" s="80"/>
      <c r="G146" s="5"/>
      <c r="H146" s="73"/>
    </row>
    <row r="147" spans="2:8" ht="13.8">
      <c r="B147" s="75"/>
      <c r="D147" s="1"/>
      <c r="E147" s="1" t="str">
        <f>IF(ISERROR(VLOOKUP(D147,Categorias!A:B,2,0)),"",VLOOKUP(D147,Categorias!A:B,2,0))</f>
        <v/>
      </c>
      <c r="F147" s="80"/>
      <c r="G147" s="5"/>
      <c r="H147" s="73"/>
    </row>
    <row r="148" spans="2:8" ht="13.8">
      <c r="B148" s="75"/>
      <c r="D148" s="1"/>
      <c r="E148" s="1" t="str">
        <f>IF(ISERROR(VLOOKUP(D148,Categorias!A:B,2,0)),"",VLOOKUP(D148,Categorias!A:B,2,0))</f>
        <v/>
      </c>
      <c r="F148" s="80"/>
      <c r="G148" s="5"/>
      <c r="H148" s="73"/>
    </row>
    <row r="149" spans="2:8" ht="13.8">
      <c r="B149" s="75"/>
      <c r="D149" s="1"/>
      <c r="E149" s="1" t="str">
        <f>IF(ISERROR(VLOOKUP(D149,Categorias!A:B,2,0)),"",VLOOKUP(D149,Categorias!A:B,2,0))</f>
        <v/>
      </c>
      <c r="F149" s="80"/>
      <c r="G149" s="5"/>
      <c r="H149" s="73"/>
    </row>
    <row r="150" spans="2:8" ht="13.8">
      <c r="B150" s="75"/>
      <c r="D150" s="1"/>
      <c r="E150" s="1" t="str">
        <f>IF(ISERROR(VLOOKUP(D150,Categorias!A:B,2,0)),"",VLOOKUP(D150,Categorias!A:B,2,0))</f>
        <v/>
      </c>
      <c r="F150" s="80"/>
      <c r="G150" s="5"/>
      <c r="H150" s="73"/>
    </row>
    <row r="151" spans="2:8" ht="13.8">
      <c r="B151" s="75"/>
      <c r="D151" s="1"/>
      <c r="E151" s="1" t="str">
        <f>IF(ISERROR(VLOOKUP(D151,Categorias!A:B,2,0)),"",VLOOKUP(D151,Categorias!A:B,2,0))</f>
        <v/>
      </c>
      <c r="F151" s="80"/>
      <c r="G151" s="5"/>
      <c r="H151" s="73"/>
    </row>
    <row r="152" spans="2:8" ht="13.8">
      <c r="B152" s="75"/>
      <c r="D152" s="1"/>
      <c r="E152" s="1" t="str">
        <f>IF(ISERROR(VLOOKUP(D152,Categorias!A:B,2,0)),"",VLOOKUP(D152,Categorias!A:B,2,0))</f>
        <v/>
      </c>
      <c r="F152" s="80"/>
      <c r="G152" s="5"/>
      <c r="H152" s="73"/>
    </row>
    <row r="153" spans="2:8" ht="13.8">
      <c r="B153" s="75"/>
      <c r="D153" s="1"/>
      <c r="E153" s="1" t="str">
        <f>IF(ISERROR(VLOOKUP(D153,Categorias!A:B,2,0)),"",VLOOKUP(D153,Categorias!A:B,2,0))</f>
        <v/>
      </c>
      <c r="F153" s="80"/>
      <c r="G153" s="5"/>
      <c r="H153" s="73"/>
    </row>
    <row r="154" spans="2:8" ht="13.8">
      <c r="B154" s="75"/>
      <c r="D154" s="1"/>
      <c r="E154" s="1" t="str">
        <f>IF(ISERROR(VLOOKUP(D154,Categorias!A:B,2,0)),"",VLOOKUP(D154,Categorias!A:B,2,0))</f>
        <v/>
      </c>
      <c r="F154" s="80"/>
      <c r="G154" s="5"/>
      <c r="H154" s="73"/>
    </row>
    <row r="155" spans="2:8" ht="13.8">
      <c r="B155" s="75"/>
      <c r="D155" s="1"/>
      <c r="E155" s="1" t="str">
        <f>IF(ISERROR(VLOOKUP(D155,Categorias!A:B,2,0)),"",VLOOKUP(D155,Categorias!A:B,2,0))</f>
        <v/>
      </c>
      <c r="F155" s="80"/>
      <c r="G155" s="5"/>
      <c r="H155" s="73"/>
    </row>
    <row r="156" spans="2:8" ht="13.8">
      <c r="B156" s="75"/>
      <c r="D156" s="1"/>
      <c r="E156" s="1" t="str">
        <f>IF(ISERROR(VLOOKUP(D156,Categorias!A:B,2,0)),"",VLOOKUP(D156,Categorias!A:B,2,0))</f>
        <v/>
      </c>
      <c r="F156" s="80"/>
      <c r="G156" s="5"/>
      <c r="H156" s="73"/>
    </row>
    <row r="157" spans="2:8" ht="13.8">
      <c r="B157" s="75"/>
      <c r="D157" s="1"/>
      <c r="E157" s="1" t="str">
        <f>IF(ISERROR(VLOOKUP(D157,Categorias!A:B,2,0)),"",VLOOKUP(D157,Categorias!A:B,2,0))</f>
        <v/>
      </c>
      <c r="F157" s="80"/>
      <c r="G157" s="5"/>
      <c r="H157" s="73"/>
    </row>
    <row r="158" spans="2:8" ht="13.8">
      <c r="D158" s="1"/>
      <c r="E158" s="1"/>
      <c r="F158" s="80"/>
      <c r="G158" s="5"/>
      <c r="H158" s="73"/>
    </row>
    <row r="159" spans="2:8" ht="13.8">
      <c r="D159" s="1"/>
      <c r="E159" s="1"/>
      <c r="F159" s="80"/>
      <c r="G159" s="5"/>
      <c r="H159" s="73"/>
    </row>
    <row r="160" spans="2:8" ht="13.8">
      <c r="D160" s="1"/>
      <c r="E160" s="1"/>
      <c r="F160" s="80"/>
      <c r="G160" s="5"/>
      <c r="H160" s="73"/>
    </row>
    <row r="161" spans="4:8" ht="13.8">
      <c r="D161" s="1"/>
      <c r="E161" s="1"/>
      <c r="F161" s="80"/>
      <c r="G161" s="5"/>
      <c r="H161" s="73"/>
    </row>
    <row r="162" spans="4:8" ht="13.8">
      <c r="D162" s="1"/>
      <c r="E162" s="1"/>
      <c r="F162" s="80"/>
      <c r="G162" s="5"/>
      <c r="H162" s="73"/>
    </row>
    <row r="163" spans="4:8" ht="13.8">
      <c r="D163" s="1"/>
      <c r="E163" s="1"/>
      <c r="F163" s="80"/>
      <c r="G163" s="5"/>
      <c r="H163" s="73"/>
    </row>
    <row r="164" spans="4:8" ht="13.8">
      <c r="D164" s="1"/>
      <c r="E164" s="1"/>
      <c r="F164" s="80"/>
      <c r="G164" s="5"/>
      <c r="H164" s="73"/>
    </row>
    <row r="165" spans="4:8" ht="13.8">
      <c r="D165" s="1"/>
      <c r="E165" s="1"/>
      <c r="F165" s="80"/>
      <c r="G165" s="5"/>
      <c r="H165" s="73"/>
    </row>
    <row r="166" spans="4:8" ht="13.8">
      <c r="D166" s="1"/>
      <c r="E166" s="1"/>
      <c r="F166" s="80"/>
      <c r="G166" s="5"/>
      <c r="H166" s="73"/>
    </row>
    <row r="167" spans="4:8" ht="13.8">
      <c r="D167" s="1"/>
      <c r="E167" s="1"/>
      <c r="F167" s="80"/>
      <c r="G167" s="5"/>
      <c r="H167" s="73"/>
    </row>
    <row r="168" spans="4:8" ht="13.8">
      <c r="D168" s="1"/>
      <c r="E168" s="1"/>
      <c r="F168" s="80"/>
      <c r="G168" s="5"/>
      <c r="H168" s="73"/>
    </row>
    <row r="169" spans="4:8" ht="13.8">
      <c r="D169" s="1"/>
      <c r="E169" s="1"/>
      <c r="F169" s="80"/>
      <c r="G169" s="5"/>
      <c r="H169" s="73"/>
    </row>
    <row r="170" spans="4:8" ht="13.8">
      <c r="D170" s="1"/>
      <c r="E170" s="1"/>
      <c r="F170" s="80"/>
      <c r="G170" s="5"/>
      <c r="H170" s="73"/>
    </row>
    <row r="171" spans="4:8" ht="13.8">
      <c r="D171" s="1"/>
      <c r="E171" s="1"/>
      <c r="F171" s="80"/>
      <c r="G171" s="5"/>
      <c r="H171" s="73"/>
    </row>
    <row r="172" spans="4:8" ht="13.8">
      <c r="D172" s="1"/>
      <c r="E172" s="1"/>
      <c r="F172" s="80"/>
      <c r="G172" s="5"/>
      <c r="H172" s="73"/>
    </row>
    <row r="173" spans="4:8" ht="13.8">
      <c r="D173" s="1"/>
      <c r="E173" s="1"/>
      <c r="F173" s="80"/>
      <c r="G173" s="5"/>
      <c r="H173" s="73"/>
    </row>
    <row r="174" spans="4:8" ht="13.8">
      <c r="D174" s="1"/>
      <c r="E174" s="1"/>
      <c r="F174" s="80"/>
      <c r="G174" s="5"/>
      <c r="H174" s="73"/>
    </row>
    <row r="175" spans="4:8" ht="13.8">
      <c r="D175" s="1"/>
      <c r="E175" s="1"/>
      <c r="F175" s="80"/>
      <c r="G175" s="5"/>
      <c r="H175" s="73"/>
    </row>
    <row r="176" spans="4:8" ht="13.8">
      <c r="D176" s="1"/>
      <c r="E176" s="1"/>
      <c r="F176" s="80"/>
      <c r="G176" s="5"/>
      <c r="H176" s="73"/>
    </row>
    <row r="177" spans="4:8" ht="13.8">
      <c r="D177" s="1"/>
      <c r="E177" s="1"/>
      <c r="F177" s="80"/>
      <c r="G177" s="5"/>
      <c r="H177" s="73"/>
    </row>
    <row r="178" spans="4:8" ht="13.8">
      <c r="D178" s="1"/>
      <c r="E178" s="1"/>
      <c r="F178" s="80"/>
      <c r="G178" s="5"/>
      <c r="H178" s="73"/>
    </row>
    <row r="179" spans="4:8" ht="13.8">
      <c r="D179" s="1"/>
      <c r="E179" s="1"/>
      <c r="F179" s="80"/>
      <c r="G179" s="5"/>
      <c r="H179" s="73"/>
    </row>
    <row r="180" spans="4:8" ht="13.8">
      <c r="D180" s="1"/>
      <c r="E180" s="1"/>
      <c r="F180" s="80"/>
      <c r="G180" s="5"/>
      <c r="H180" s="73"/>
    </row>
    <row r="181" spans="4:8" ht="13.8">
      <c r="D181" s="1"/>
      <c r="E181" s="1"/>
      <c r="F181" s="80"/>
      <c r="G181" s="5"/>
      <c r="H181" s="73"/>
    </row>
    <row r="182" spans="4:8" ht="13.8">
      <c r="D182" s="1"/>
      <c r="E182" s="1"/>
      <c r="F182" s="80"/>
      <c r="G182" s="5"/>
      <c r="H182" s="73"/>
    </row>
    <row r="183" spans="4:8" ht="13.8">
      <c r="D183" s="1"/>
      <c r="E183" s="1"/>
      <c r="F183" s="80"/>
      <c r="G183" s="5"/>
      <c r="H183" s="73"/>
    </row>
    <row r="184" spans="4:8" ht="13.8">
      <c r="D184" s="1"/>
      <c r="E184" s="1"/>
      <c r="F184" s="80"/>
      <c r="G184" s="5"/>
      <c r="H184" s="73"/>
    </row>
    <row r="185" spans="4:8" ht="13.8">
      <c r="D185" s="1"/>
      <c r="E185" s="1"/>
      <c r="F185" s="80"/>
      <c r="G185" s="5"/>
      <c r="H185" s="73"/>
    </row>
    <row r="186" spans="4:8" ht="13.8">
      <c r="D186" s="1"/>
      <c r="E186" s="1"/>
      <c r="F186" s="80"/>
      <c r="G186" s="5"/>
      <c r="H186" s="73"/>
    </row>
    <row r="187" spans="4:8" ht="13.8">
      <c r="D187" s="1"/>
      <c r="E187" s="1"/>
      <c r="F187" s="80"/>
      <c r="G187" s="5"/>
      <c r="H187" s="73"/>
    </row>
    <row r="188" spans="4:8" ht="13.8">
      <c r="D188" s="1"/>
      <c r="E188" s="1"/>
      <c r="F188" s="80"/>
      <c r="G188" s="5"/>
      <c r="H188" s="73"/>
    </row>
    <row r="189" spans="4:8" ht="13.8">
      <c r="D189" s="1"/>
      <c r="E189" s="1"/>
      <c r="F189" s="80"/>
      <c r="G189" s="5"/>
      <c r="H189" s="73"/>
    </row>
    <row r="190" spans="4:8" ht="13.8">
      <c r="D190" s="1"/>
      <c r="E190" s="1"/>
      <c r="F190" s="80"/>
      <c r="G190" s="5"/>
      <c r="H190" s="73"/>
    </row>
    <row r="191" spans="4:8" ht="13.8">
      <c r="D191" s="1"/>
      <c r="E191" s="1"/>
      <c r="F191" s="80"/>
      <c r="G191" s="5"/>
      <c r="H191" s="73"/>
    </row>
    <row r="192" spans="4:8" ht="13.8">
      <c r="D192" s="1"/>
      <c r="E192" s="1"/>
      <c r="F192" s="80"/>
      <c r="G192" s="5"/>
      <c r="H192" s="73"/>
    </row>
    <row r="193" spans="4:8" ht="13.8">
      <c r="D193" s="1"/>
      <c r="E193" s="1"/>
      <c r="F193" s="80"/>
      <c r="G193" s="5"/>
      <c r="H193" s="73"/>
    </row>
    <row r="194" spans="4:8" ht="13.8">
      <c r="D194" s="1"/>
      <c r="E194" s="1"/>
      <c r="F194" s="80"/>
      <c r="G194" s="5"/>
      <c r="H194" s="73"/>
    </row>
    <row r="195" spans="4:8" ht="13.8">
      <c r="D195" s="1"/>
      <c r="E195" s="1"/>
      <c r="F195" s="80"/>
      <c r="G195" s="5"/>
      <c r="H195" s="73"/>
    </row>
    <row r="196" spans="4:8" ht="13.8">
      <c r="D196" s="1"/>
      <c r="E196" s="1"/>
      <c r="F196" s="80"/>
      <c r="G196" s="5"/>
      <c r="H196" s="73"/>
    </row>
    <row r="197" spans="4:8" ht="13.8">
      <c r="D197" s="1"/>
      <c r="E197" s="1"/>
      <c r="F197" s="80"/>
      <c r="G197" s="5"/>
      <c r="H197" s="73"/>
    </row>
    <row r="198" spans="4:8" ht="13.8">
      <c r="D198" s="1"/>
      <c r="E198" s="1"/>
      <c r="F198" s="80"/>
      <c r="G198" s="5"/>
      <c r="H198" s="73"/>
    </row>
    <row r="199" spans="4:8" ht="13.8">
      <c r="D199" s="1"/>
      <c r="E199" s="1"/>
      <c r="F199" s="80"/>
      <c r="G199" s="5"/>
      <c r="H199" s="73"/>
    </row>
    <row r="200" spans="4:8" ht="13.8">
      <c r="D200" s="1"/>
      <c r="E200" s="1"/>
      <c r="F200" s="80"/>
      <c r="G200" s="5"/>
      <c r="H200" s="73"/>
    </row>
    <row r="201" spans="4:8" ht="13.8">
      <c r="D201" s="1"/>
      <c r="E201" s="1"/>
      <c r="F201" s="80"/>
      <c r="G201" s="5"/>
      <c r="H201" s="73"/>
    </row>
    <row r="202" spans="4:8" ht="13.8">
      <c r="D202" s="1"/>
      <c r="E202" s="1"/>
      <c r="F202" s="80"/>
      <c r="G202" s="5"/>
      <c r="H202" s="73"/>
    </row>
    <row r="203" spans="4:8" ht="13.8">
      <c r="D203" s="1"/>
      <c r="E203" s="1"/>
      <c r="F203" s="80"/>
      <c r="G203" s="5"/>
      <c r="H203" s="73"/>
    </row>
    <row r="204" spans="4:8" ht="13.8">
      <c r="D204" s="1"/>
      <c r="E204" s="1"/>
      <c r="F204" s="80"/>
      <c r="G204" s="5"/>
      <c r="H204" s="73"/>
    </row>
    <row r="205" spans="4:8" ht="13.8">
      <c r="D205" s="1"/>
      <c r="E205" s="1"/>
      <c r="F205" s="80"/>
      <c r="G205" s="5"/>
      <c r="H205" s="73"/>
    </row>
    <row r="206" spans="4:8" ht="13.8">
      <c r="D206" s="1"/>
      <c r="E206" s="1"/>
      <c r="F206" s="80"/>
      <c r="G206" s="5"/>
      <c r="H206" s="73"/>
    </row>
    <row r="207" spans="4:8" ht="13.8">
      <c r="D207" s="1"/>
      <c r="E207" s="1"/>
      <c r="F207" s="80"/>
      <c r="G207" s="5"/>
      <c r="H207" s="73"/>
    </row>
    <row r="208" spans="4:8" ht="13.8">
      <c r="D208" s="1"/>
      <c r="E208" s="1"/>
      <c r="F208" s="80"/>
      <c r="G208" s="5"/>
      <c r="H208" s="73"/>
    </row>
    <row r="209" spans="4:8" ht="13.8">
      <c r="D209" s="1"/>
      <c r="E209" s="1"/>
      <c r="F209" s="80"/>
      <c r="G209" s="5"/>
      <c r="H209" s="73"/>
    </row>
    <row r="210" spans="4:8" ht="13.8">
      <c r="D210" s="1"/>
      <c r="E210" s="1"/>
      <c r="F210" s="80"/>
      <c r="G210" s="5"/>
      <c r="H210" s="73"/>
    </row>
    <row r="211" spans="4:8" ht="13.8">
      <c r="D211" s="1"/>
      <c r="E211" s="1"/>
      <c r="F211" s="80"/>
      <c r="G211" s="5"/>
      <c r="H211" s="73"/>
    </row>
    <row r="212" spans="4:8" ht="13.8">
      <c r="D212" s="1"/>
      <c r="E212" s="1"/>
      <c r="F212" s="80"/>
      <c r="G212" s="5"/>
      <c r="H212" s="73"/>
    </row>
    <row r="213" spans="4:8" ht="13.8">
      <c r="D213" s="1"/>
      <c r="E213" s="1"/>
      <c r="F213" s="80"/>
      <c r="G213" s="5"/>
      <c r="H213" s="73"/>
    </row>
    <row r="214" spans="4:8" ht="13.8">
      <c r="D214" s="1"/>
      <c r="E214" s="1"/>
      <c r="F214" s="80"/>
      <c r="G214" s="5"/>
      <c r="H214" s="73"/>
    </row>
    <row r="215" spans="4:8" ht="13.8">
      <c r="D215" s="1"/>
      <c r="E215" s="1"/>
      <c r="F215" s="80"/>
      <c r="G215" s="5"/>
      <c r="H215" s="73"/>
    </row>
    <row r="216" spans="4:8" ht="13.8">
      <c r="D216" s="1"/>
      <c r="E216" s="1"/>
      <c r="F216" s="80"/>
      <c r="G216" s="5"/>
      <c r="H216" s="73"/>
    </row>
    <row r="217" spans="4:8" ht="13.8">
      <c r="D217" s="1"/>
      <c r="E217" s="1"/>
      <c r="F217" s="80"/>
      <c r="G217" s="5"/>
      <c r="H217" s="73"/>
    </row>
    <row r="218" spans="4:8" ht="13.8">
      <c r="D218" s="1"/>
      <c r="E218" s="1"/>
      <c r="F218" s="80"/>
      <c r="G218" s="5"/>
      <c r="H218" s="73"/>
    </row>
    <row r="219" spans="4:8" ht="13.8">
      <c r="D219" s="1"/>
      <c r="E219" s="1"/>
      <c r="F219" s="80"/>
      <c r="G219" s="5"/>
      <c r="H219" s="73"/>
    </row>
    <row r="220" spans="4:8" ht="13.8">
      <c r="D220" s="1"/>
      <c r="E220" s="1"/>
      <c r="F220" s="80"/>
      <c r="G220" s="5"/>
      <c r="H220" s="73"/>
    </row>
    <row r="221" spans="4:8" ht="13.8">
      <c r="D221" s="1"/>
      <c r="E221" s="1"/>
      <c r="F221" s="80"/>
      <c r="G221" s="5"/>
      <c r="H221" s="73"/>
    </row>
    <row r="222" spans="4:8" ht="13.8">
      <c r="D222" s="1"/>
      <c r="E222" s="1"/>
      <c r="F222" s="80"/>
      <c r="G222" s="5"/>
      <c r="H222" s="73"/>
    </row>
    <row r="223" spans="4:8" ht="13.8">
      <c r="D223" s="1"/>
      <c r="E223" s="1"/>
      <c r="F223" s="80"/>
      <c r="G223" s="5"/>
      <c r="H223" s="73"/>
    </row>
    <row r="224" spans="4:8" ht="13.8">
      <c r="D224" s="1"/>
      <c r="E224" s="1"/>
      <c r="F224" s="80"/>
      <c r="G224" s="5"/>
      <c r="H224" s="73"/>
    </row>
    <row r="225" spans="4:8" ht="13.8">
      <c r="D225" s="1"/>
      <c r="E225" s="1"/>
      <c r="F225" s="80"/>
      <c r="G225" s="5"/>
      <c r="H225" s="73"/>
    </row>
    <row r="226" spans="4:8" ht="13.8">
      <c r="D226" s="1"/>
      <c r="E226" s="1"/>
      <c r="F226" s="80"/>
      <c r="G226" s="5"/>
      <c r="H226" s="73"/>
    </row>
    <row r="227" spans="4:8" ht="13.8">
      <c r="D227" s="1"/>
      <c r="E227" s="1"/>
      <c r="F227" s="80"/>
      <c r="G227" s="5"/>
      <c r="H227" s="73"/>
    </row>
    <row r="228" spans="4:8" ht="13.8">
      <c r="D228" s="1"/>
      <c r="E228" s="1"/>
      <c r="F228" s="80"/>
      <c r="G228" s="5"/>
      <c r="H228" s="73"/>
    </row>
    <row r="229" spans="4:8" ht="13.8">
      <c r="D229" s="1"/>
      <c r="E229" s="1"/>
      <c r="F229" s="80"/>
      <c r="G229" s="5"/>
      <c r="H229" s="73"/>
    </row>
    <row r="230" spans="4:8" ht="13.8">
      <c r="D230" s="1"/>
      <c r="E230" s="1"/>
      <c r="F230" s="80"/>
      <c r="G230" s="5"/>
      <c r="H230" s="73"/>
    </row>
    <row r="231" spans="4:8" ht="13.8">
      <c r="D231" s="1"/>
      <c r="E231" s="1"/>
      <c r="F231" s="80"/>
      <c r="G231" s="5"/>
      <c r="H231" s="73"/>
    </row>
    <row r="232" spans="4:8" ht="13.8">
      <c r="D232" s="1"/>
      <c r="E232" s="1"/>
      <c r="F232" s="80"/>
      <c r="G232" s="5"/>
      <c r="H232" s="73"/>
    </row>
    <row r="233" spans="4:8" ht="13.8">
      <c r="D233" s="1"/>
      <c r="E233" s="1"/>
      <c r="F233" s="80"/>
      <c r="G233" s="5"/>
      <c r="H233" s="73"/>
    </row>
    <row r="234" spans="4:8" ht="13.8">
      <c r="D234" s="1"/>
      <c r="E234" s="1"/>
      <c r="F234" s="80"/>
      <c r="G234" s="5"/>
      <c r="H234" s="73"/>
    </row>
    <row r="235" spans="4:8" ht="13.8">
      <c r="D235" s="1"/>
      <c r="E235" s="1"/>
      <c r="F235" s="80"/>
      <c r="G235" s="5"/>
      <c r="H235" s="73"/>
    </row>
    <row r="236" spans="4:8" ht="13.8">
      <c r="D236" s="1"/>
      <c r="E236" s="1"/>
      <c r="F236" s="80"/>
      <c r="G236" s="5"/>
      <c r="H236" s="73"/>
    </row>
    <row r="237" spans="4:8" ht="13.8">
      <c r="D237" s="1"/>
      <c r="E237" s="1"/>
      <c r="F237" s="80"/>
      <c r="G237" s="5"/>
      <c r="H237" s="73"/>
    </row>
    <row r="238" spans="4:8" ht="13.8">
      <c r="D238" s="1"/>
      <c r="E238" s="1"/>
      <c r="F238" s="80"/>
      <c r="G238" s="5"/>
      <c r="H238" s="73"/>
    </row>
    <row r="239" spans="4:8" ht="13.8">
      <c r="D239" s="1"/>
      <c r="E239" s="1"/>
      <c r="F239" s="80"/>
      <c r="G239" s="5"/>
      <c r="H239" s="73"/>
    </row>
    <row r="240" spans="4:8" ht="13.8">
      <c r="D240" s="1"/>
      <c r="E240" s="1"/>
      <c r="F240" s="80"/>
      <c r="G240" s="5"/>
      <c r="H240" s="73"/>
    </row>
    <row r="241" spans="4:8" ht="13.8">
      <c r="D241" s="1"/>
      <c r="E241" s="1"/>
      <c r="F241" s="80"/>
      <c r="G241" s="5"/>
      <c r="H241" s="73"/>
    </row>
    <row r="242" spans="4:8" ht="13.8">
      <c r="D242" s="1"/>
      <c r="E242" s="1"/>
      <c r="F242" s="80"/>
      <c r="G242" s="5"/>
      <c r="H242" s="73"/>
    </row>
    <row r="243" spans="4:8" ht="13.8">
      <c r="D243" s="1"/>
      <c r="E243" s="1"/>
      <c r="F243" s="80"/>
      <c r="G243" s="5"/>
      <c r="H243" s="73"/>
    </row>
    <row r="244" spans="4:8" ht="13.8">
      <c r="D244" s="1"/>
      <c r="E244" s="1"/>
      <c r="F244" s="80"/>
      <c r="G244" s="5"/>
      <c r="H244" s="73"/>
    </row>
    <row r="245" spans="4:8" ht="13.8">
      <c r="D245" s="1"/>
      <c r="E245" s="1"/>
      <c r="F245" s="80"/>
      <c r="G245" s="5"/>
      <c r="H245" s="73"/>
    </row>
    <row r="246" spans="4:8" ht="13.8">
      <c r="D246" s="1"/>
      <c r="E246" s="1"/>
      <c r="F246" s="80"/>
      <c r="G246" s="5"/>
      <c r="H246" s="73"/>
    </row>
    <row r="247" spans="4:8" ht="13.8">
      <c r="D247" s="1"/>
      <c r="E247" s="1"/>
      <c r="F247" s="80"/>
      <c r="G247" s="5"/>
      <c r="H247" s="73"/>
    </row>
    <row r="248" spans="4:8" ht="13.8">
      <c r="D248" s="1"/>
      <c r="E248" s="1"/>
      <c r="F248" s="80"/>
      <c r="G248" s="5"/>
      <c r="H248" s="73"/>
    </row>
    <row r="249" spans="4:8" ht="13.8">
      <c r="D249" s="1"/>
      <c r="E249" s="1"/>
      <c r="F249" s="80"/>
      <c r="G249" s="5"/>
      <c r="H249" s="73"/>
    </row>
    <row r="250" spans="4:8" ht="13.8">
      <c r="D250" s="1"/>
      <c r="E250" s="1"/>
      <c r="F250" s="80"/>
      <c r="G250" s="5"/>
      <c r="H250" s="73"/>
    </row>
    <row r="251" spans="4:8" ht="13.8">
      <c r="D251" s="1"/>
      <c r="E251" s="1"/>
      <c r="F251" s="80"/>
      <c r="G251" s="5"/>
      <c r="H251" s="73"/>
    </row>
    <row r="252" spans="4:8" ht="13.8">
      <c r="D252" s="1"/>
      <c r="E252" s="1"/>
      <c r="F252" s="80"/>
      <c r="G252" s="5"/>
      <c r="H252" s="73"/>
    </row>
    <row r="253" spans="4:8" ht="13.8">
      <c r="D253" s="1"/>
      <c r="E253" s="1"/>
      <c r="F253" s="80"/>
      <c r="G253" s="5"/>
      <c r="H253" s="73"/>
    </row>
    <row r="254" spans="4:8" ht="13.8">
      <c r="D254" s="1"/>
      <c r="E254" s="1"/>
      <c r="F254" s="80"/>
      <c r="G254" s="5"/>
      <c r="H254" s="73"/>
    </row>
    <row r="255" spans="4:8" ht="13.8">
      <c r="E255" s="1"/>
      <c r="F255" s="81"/>
      <c r="G255" s="6"/>
      <c r="H255" s="60"/>
    </row>
    <row r="256" spans="4:8" ht="13.8">
      <c r="E256" s="1"/>
      <c r="F256" s="81"/>
      <c r="G256" s="6"/>
      <c r="H256" s="60"/>
    </row>
    <row r="257" spans="5:8" ht="13.8">
      <c r="E257" s="1"/>
      <c r="F257" s="81"/>
      <c r="G257" s="6"/>
      <c r="H257" s="60"/>
    </row>
    <row r="258" spans="5:8" ht="13.8">
      <c r="E258" s="1"/>
      <c r="F258" s="81"/>
      <c r="G258" s="6"/>
      <c r="H258" s="60"/>
    </row>
    <row r="259" spans="5:8" ht="13.8">
      <c r="E259" s="1"/>
      <c r="F259" s="81"/>
      <c r="G259" s="6"/>
      <c r="H259" s="60"/>
    </row>
    <row r="260" spans="5:8" ht="13.8">
      <c r="E260" s="1"/>
      <c r="F260" s="81"/>
      <c r="G260" s="6"/>
      <c r="H260" s="60"/>
    </row>
    <row r="261" spans="5:8" ht="13.8">
      <c r="E261" s="1"/>
      <c r="F261" s="81"/>
      <c r="G261" s="6"/>
      <c r="H261" s="60"/>
    </row>
    <row r="262" spans="5:8" ht="13.8">
      <c r="E262" s="1"/>
      <c r="F262" s="81"/>
      <c r="G262" s="6"/>
      <c r="H262" s="60"/>
    </row>
    <row r="263" spans="5:8" ht="13.8">
      <c r="E263" s="1"/>
      <c r="F263" s="81"/>
      <c r="G263" s="6"/>
      <c r="H263" s="60"/>
    </row>
    <row r="264" spans="5:8" ht="13.8">
      <c r="E264" s="1"/>
      <c r="F264" s="81"/>
      <c r="G264" s="6"/>
      <c r="H264" s="60"/>
    </row>
    <row r="265" spans="5:8" ht="13.8">
      <c r="E265" s="1"/>
      <c r="F265" s="81"/>
      <c r="G265" s="6"/>
      <c r="H265" s="60"/>
    </row>
    <row r="266" spans="5:8" ht="13.8">
      <c r="E266" s="1"/>
      <c r="F266" s="81"/>
      <c r="G266" s="6"/>
      <c r="H266" s="60"/>
    </row>
    <row r="267" spans="5:8" ht="13.8">
      <c r="E267" s="1"/>
      <c r="F267" s="81"/>
      <c r="G267" s="6"/>
      <c r="H267" s="60"/>
    </row>
    <row r="268" spans="5:8" ht="13.8">
      <c r="E268" s="1"/>
      <c r="F268" s="81"/>
      <c r="G268" s="6"/>
      <c r="H268" s="60"/>
    </row>
    <row r="269" spans="5:8" ht="13.8">
      <c r="E269" s="1"/>
      <c r="F269" s="81"/>
      <c r="G269" s="6"/>
      <c r="H269" s="60"/>
    </row>
    <row r="270" spans="5:8" ht="13.8">
      <c r="E270" s="1"/>
      <c r="F270" s="81"/>
      <c r="G270" s="6"/>
      <c r="H270" s="60"/>
    </row>
    <row r="271" spans="5:8" ht="13.8">
      <c r="E271" s="1"/>
      <c r="F271" s="81"/>
      <c r="G271" s="6"/>
      <c r="H271" s="60"/>
    </row>
    <row r="272" spans="5:8" ht="13.8">
      <c r="E272" s="1"/>
      <c r="F272" s="81"/>
      <c r="G272" s="6"/>
      <c r="H272" s="60"/>
    </row>
    <row r="273" spans="5:8" ht="13.8">
      <c r="E273" s="1"/>
      <c r="F273" s="81"/>
      <c r="G273" s="6"/>
      <c r="H273" s="60"/>
    </row>
    <row r="274" spans="5:8" ht="13.8">
      <c r="E274" s="1" t="str">
        <f>IF(ISERROR(VLOOKUP(D274,Categorias!A:B,2,0)),"",VLOOKUP(D274,Categorias!A:B,2,0))</f>
        <v/>
      </c>
      <c r="F274" s="81"/>
      <c r="G274" s="6"/>
      <c r="H274" s="60"/>
    </row>
    <row r="275" spans="5:8" ht="13.8">
      <c r="E275" s="1" t="str">
        <f>IF(ISERROR(VLOOKUP(D275,Categorias!A:B,2,0)),"",VLOOKUP(D275,Categorias!A:B,2,0))</f>
        <v/>
      </c>
      <c r="F275" s="81"/>
      <c r="G275" s="6"/>
      <c r="H275" s="60"/>
    </row>
    <row r="276" spans="5:8" ht="13.8">
      <c r="E276" s="1" t="str">
        <f>IF(ISERROR(VLOOKUP(D276,Categorias!A:B,2,0)),"",VLOOKUP(D276,Categorias!A:B,2,0))</f>
        <v/>
      </c>
      <c r="F276" s="81"/>
      <c r="G276" s="6"/>
      <c r="H276" s="60"/>
    </row>
    <row r="277" spans="5:8" ht="13.8">
      <c r="E277" s="1" t="str">
        <f>IF(ISERROR(VLOOKUP(D277,Categorias!A:B,2,0)),"",VLOOKUP(D277,Categorias!A:B,2,0))</f>
        <v/>
      </c>
      <c r="F277" s="81"/>
      <c r="G277" s="6"/>
      <c r="H277" s="60"/>
    </row>
    <row r="278" spans="5:8" ht="13.8">
      <c r="E278" s="1" t="str">
        <f>IF(ISERROR(VLOOKUP(D278,Categorias!A:B,2,0)),"",VLOOKUP(D278,Categorias!A:B,2,0))</f>
        <v/>
      </c>
      <c r="F278" s="81"/>
      <c r="G278" s="6"/>
      <c r="H278" s="60"/>
    </row>
    <row r="279" spans="5:8" ht="13.8">
      <c r="F279" s="81"/>
      <c r="G279" s="6"/>
      <c r="H279" s="60"/>
    </row>
    <row r="280" spans="5:8" ht="13.8">
      <c r="F280" s="81"/>
      <c r="G280" s="6"/>
      <c r="H280" s="60"/>
    </row>
    <row r="281" spans="5:8" ht="13.8">
      <c r="F281" s="81"/>
      <c r="G281" s="6"/>
      <c r="H281" s="60"/>
    </row>
    <row r="282" spans="5:8" ht="13.8">
      <c r="F282" s="81"/>
      <c r="G282" s="6"/>
      <c r="H282" s="60"/>
    </row>
    <row r="283" spans="5:8" ht="13.8">
      <c r="F283" s="81"/>
      <c r="G283" s="6"/>
      <c r="H283" s="60"/>
    </row>
    <row r="284" spans="5:8" ht="13.8">
      <c r="F284" s="81"/>
      <c r="G284" s="6"/>
      <c r="H284" s="60"/>
    </row>
    <row r="285" spans="5:8" ht="13.8">
      <c r="F285" s="81"/>
      <c r="G285" s="6"/>
      <c r="H285" s="60"/>
    </row>
    <row r="286" spans="5:8" ht="13.8">
      <c r="F286" s="81"/>
      <c r="G286" s="6"/>
      <c r="H286" s="60"/>
    </row>
    <row r="287" spans="5:8" ht="13.8">
      <c r="F287" s="81"/>
      <c r="G287" s="6"/>
      <c r="H287" s="60"/>
    </row>
    <row r="288" spans="5:8" ht="13.8">
      <c r="F288" s="81"/>
      <c r="G288" s="6"/>
      <c r="H288" s="60"/>
    </row>
    <row r="289" spans="6:8" ht="13.8">
      <c r="F289" s="81"/>
      <c r="G289" s="6"/>
      <c r="H289" s="60"/>
    </row>
    <row r="290" spans="6:8" ht="13.8">
      <c r="F290" s="81"/>
      <c r="G290" s="6"/>
      <c r="H290" s="60"/>
    </row>
    <row r="291" spans="6:8" ht="13.8">
      <c r="F291" s="81"/>
      <c r="G291" s="6"/>
      <c r="H291" s="60"/>
    </row>
    <row r="292" spans="6:8" ht="13.8">
      <c r="F292" s="81"/>
      <c r="G292" s="6"/>
      <c r="H292" s="60"/>
    </row>
    <row r="293" spans="6:8" ht="13.8">
      <c r="F293" s="81"/>
      <c r="G293" s="6"/>
      <c r="H293" s="60"/>
    </row>
    <row r="294" spans="6:8" ht="13.8">
      <c r="F294" s="81"/>
      <c r="G294" s="6"/>
      <c r="H294" s="60"/>
    </row>
    <row r="295" spans="6:8" ht="13.8">
      <c r="F295" s="81"/>
      <c r="G295" s="6"/>
      <c r="H295" s="60"/>
    </row>
    <row r="296" spans="6:8" ht="13.8">
      <c r="F296" s="81"/>
      <c r="G296" s="6"/>
      <c r="H296" s="60"/>
    </row>
    <row r="297" spans="6:8" ht="13.8">
      <c r="F297" s="81"/>
      <c r="G297" s="6"/>
      <c r="H297" s="60"/>
    </row>
    <row r="298" spans="6:8" ht="13.8">
      <c r="F298" s="81"/>
      <c r="G298" s="6"/>
      <c r="H298" s="60"/>
    </row>
    <row r="299" spans="6:8" ht="13.8">
      <c r="F299" s="81"/>
      <c r="G299" s="6"/>
      <c r="H299" s="60"/>
    </row>
    <row r="300" spans="6:8" ht="13.8">
      <c r="F300" s="81"/>
      <c r="G300" s="6"/>
      <c r="H300" s="60"/>
    </row>
    <row r="301" spans="6:8" ht="13.8">
      <c r="F301" s="81"/>
      <c r="G301" s="6"/>
      <c r="H301" s="60"/>
    </row>
    <row r="302" spans="6:8" ht="13.8">
      <c r="F302" s="81"/>
      <c r="G302" s="6"/>
      <c r="H302" s="60"/>
    </row>
    <row r="303" spans="6:8" ht="13.8">
      <c r="F303" s="81"/>
      <c r="G303" s="6"/>
      <c r="H303" s="60"/>
    </row>
    <row r="304" spans="6:8" ht="13.8">
      <c r="F304" s="81"/>
      <c r="G304" s="6"/>
      <c r="H304" s="60"/>
    </row>
    <row r="305" spans="6:8" ht="13.8">
      <c r="F305" s="81"/>
      <c r="G305" s="6"/>
      <c r="H305" s="60"/>
    </row>
    <row r="306" spans="6:8" ht="13.8">
      <c r="F306" s="81"/>
      <c r="G306" s="6"/>
      <c r="H306" s="60"/>
    </row>
    <row r="307" spans="6:8" ht="13.8">
      <c r="F307" s="81"/>
      <c r="G307" s="6"/>
      <c r="H307" s="60"/>
    </row>
    <row r="308" spans="6:8" ht="13.8">
      <c r="F308" s="81"/>
      <c r="G308" s="6"/>
      <c r="H308" s="60"/>
    </row>
    <row r="309" spans="6:8" ht="13.8">
      <c r="F309" s="81"/>
      <c r="G309" s="6"/>
      <c r="H309" s="60"/>
    </row>
    <row r="310" spans="6:8" ht="13.8">
      <c r="F310" s="81"/>
      <c r="G310" s="6"/>
      <c r="H310" s="60"/>
    </row>
    <row r="311" spans="6:8" ht="13.8">
      <c r="F311" s="81"/>
      <c r="G311" s="6"/>
      <c r="H311" s="60"/>
    </row>
    <row r="312" spans="6:8" ht="13.8">
      <c r="F312" s="81"/>
      <c r="G312" s="6"/>
      <c r="H312" s="60"/>
    </row>
    <row r="313" spans="6:8" ht="13.8">
      <c r="F313" s="81"/>
      <c r="G313" s="6"/>
      <c r="H313" s="60"/>
    </row>
    <row r="314" spans="6:8" ht="13.8">
      <c r="F314" s="81"/>
      <c r="G314" s="6"/>
      <c r="H314" s="60"/>
    </row>
    <row r="315" spans="6:8" ht="13.8">
      <c r="F315" s="81"/>
      <c r="G315" s="6"/>
      <c r="H315" s="60"/>
    </row>
    <row r="316" spans="6:8" ht="13.8">
      <c r="F316" s="81"/>
      <c r="G316" s="6"/>
      <c r="H316" s="60"/>
    </row>
    <row r="317" spans="6:8" ht="13.8">
      <c r="F317" s="81"/>
      <c r="G317" s="6"/>
      <c r="H317" s="60"/>
    </row>
    <row r="318" spans="6:8" ht="13.8">
      <c r="F318" s="81"/>
      <c r="G318" s="6"/>
      <c r="H318" s="60"/>
    </row>
    <row r="319" spans="6:8" ht="13.8">
      <c r="F319" s="81"/>
      <c r="G319" s="6"/>
      <c r="H319" s="60"/>
    </row>
    <row r="320" spans="6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</sheetData>
  <mergeCells count="12">
    <mergeCell ref="G7:H7"/>
    <mergeCell ref="B2:H5"/>
    <mergeCell ref="G8:H8"/>
    <mergeCell ref="G9:H9"/>
    <mergeCell ref="G10:H10"/>
    <mergeCell ref="E10:F10"/>
    <mergeCell ref="E9:F9"/>
    <mergeCell ref="E8:F8"/>
    <mergeCell ref="B8:C8"/>
    <mergeCell ref="B9:C9"/>
    <mergeCell ref="B10:C10"/>
    <mergeCell ref="B7:D7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Categorias!$A:$A</xm:f>
          </x14:formula1>
          <xm:sqref>D13:D254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C9315-FDD3-4E89-A630-1E945D5D483F}">
  <dimension ref="A1:H997"/>
  <sheetViews>
    <sheetView showGridLines="0" zoomScale="85" zoomScaleNormal="85" workbookViewId="0">
      <selection activeCell="E15" sqref="E15"/>
    </sheetView>
  </sheetViews>
  <sheetFormatPr defaultColWidth="12.6640625" defaultRowHeight="15" customHeight="1"/>
  <cols>
    <col min="1" max="1" width="5.33203125" style="77" customWidth="1"/>
    <col min="2" max="2" width="13" style="76" bestFit="1" customWidth="1"/>
    <col min="3" max="3" width="38.33203125" style="7" bestFit="1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8" s="8" customFormat="1" ht="4.5" customHeight="1">
      <c r="B1" s="76"/>
      <c r="C1" s="83"/>
      <c r="F1" s="85"/>
      <c r="G1" s="63"/>
    </row>
    <row r="2" spans="1:8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8" ht="12.75" customHeight="1">
      <c r="B3" s="137"/>
      <c r="C3" s="138"/>
      <c r="D3" s="138"/>
      <c r="E3" s="138"/>
      <c r="F3" s="138"/>
      <c r="G3" s="138"/>
      <c r="H3" s="138"/>
    </row>
    <row r="4" spans="1:8" ht="12.75" customHeight="1">
      <c r="B4" s="137"/>
      <c r="C4" s="138"/>
      <c r="D4" s="138"/>
      <c r="E4" s="138"/>
      <c r="F4" s="138"/>
      <c r="G4" s="138"/>
      <c r="H4" s="138"/>
    </row>
    <row r="5" spans="1:8" ht="12.75" customHeight="1">
      <c r="B5" s="139"/>
      <c r="C5" s="140"/>
      <c r="D5" s="140"/>
      <c r="E5" s="140"/>
      <c r="F5" s="140"/>
      <c r="G5" s="140"/>
      <c r="H5" s="140"/>
    </row>
    <row r="6" spans="1:8" s="8" customFormat="1" ht="3.75" customHeight="1">
      <c r="B6" s="76"/>
      <c r="C6" s="83"/>
      <c r="F6" s="85"/>
      <c r="G6" s="63"/>
    </row>
    <row r="7" spans="1:8" ht="21">
      <c r="A7" s="61"/>
      <c r="B7" s="149" t="s">
        <v>95</v>
      </c>
      <c r="C7" s="150"/>
      <c r="D7" s="150"/>
      <c r="E7" s="71"/>
      <c r="F7" s="71"/>
      <c r="G7" s="135">
        <f>D8+D9+D10+G8+G9+G10</f>
        <v>3500</v>
      </c>
      <c r="H7" s="136"/>
    </row>
    <row r="8" spans="1:8" ht="15.6">
      <c r="A8" s="61"/>
      <c r="B8" s="148" t="s">
        <v>103</v>
      </c>
      <c r="C8" s="148"/>
      <c r="D8" s="65">
        <v>2500</v>
      </c>
      <c r="E8" s="147" t="s">
        <v>93</v>
      </c>
      <c r="F8" s="148"/>
      <c r="G8" s="141">
        <v>0</v>
      </c>
      <c r="H8" s="142"/>
    </row>
    <row r="9" spans="1:8" ht="15.6">
      <c r="A9" s="61"/>
      <c r="B9" s="146" t="s">
        <v>104</v>
      </c>
      <c r="C9" s="146"/>
      <c r="D9" s="64">
        <v>1000</v>
      </c>
      <c r="E9" s="145" t="s">
        <v>94</v>
      </c>
      <c r="F9" s="146"/>
      <c r="G9" s="143">
        <v>0</v>
      </c>
      <c r="H9" s="144"/>
    </row>
    <row r="10" spans="1:8" s="8" customFormat="1" ht="15.6">
      <c r="A10" s="61"/>
      <c r="B10" s="148" t="s">
        <v>92</v>
      </c>
      <c r="C10" s="148"/>
      <c r="D10" s="65">
        <v>0</v>
      </c>
      <c r="E10" s="145" t="s">
        <v>96</v>
      </c>
      <c r="F10" s="146"/>
      <c r="G10" s="141">
        <v>0</v>
      </c>
      <c r="H10" s="142"/>
    </row>
    <row r="11" spans="1:8" s="8" customFormat="1" ht="4.5" customHeight="1">
      <c r="B11" s="76"/>
      <c r="C11" s="83"/>
      <c r="F11" s="84"/>
      <c r="G11" s="84"/>
    </row>
    <row r="12" spans="1:8" ht="18">
      <c r="B12" s="67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8" ht="13.8">
      <c r="B13" s="74">
        <v>46054</v>
      </c>
      <c r="C13" s="68" t="s">
        <v>105</v>
      </c>
      <c r="D13" s="1" t="s">
        <v>2</v>
      </c>
      <c r="E13" s="62" t="str">
        <f>IF(ISERROR(VLOOKUP(D13,Categorias!A:B,2,0)),"",VLOOKUP(D13,Categorias!A:B,2,0))</f>
        <v>GASTOS VARIÁVEIS</v>
      </c>
      <c r="F13" s="80"/>
      <c r="G13" s="5"/>
      <c r="H13" s="78"/>
    </row>
    <row r="14" spans="1:8" ht="13.8">
      <c r="B14" s="74">
        <v>46055</v>
      </c>
      <c r="C14" s="68" t="s">
        <v>106</v>
      </c>
      <c r="D14" s="1" t="s">
        <v>2</v>
      </c>
      <c r="E14" s="62" t="str">
        <f>IF(ISERROR(VLOOKUP(D14,Categorias!A:B,2,0)),"",VLOOKUP(D14,Categorias!A:B,2,0))</f>
        <v>GASTOS VARIÁVEIS</v>
      </c>
      <c r="F14" s="80"/>
      <c r="G14" s="5"/>
      <c r="H14" s="79"/>
    </row>
    <row r="15" spans="1:8" ht="13.8">
      <c r="B15" s="74">
        <v>46056</v>
      </c>
      <c r="C15" s="68" t="s">
        <v>107</v>
      </c>
      <c r="D15" s="1" t="s">
        <v>2</v>
      </c>
      <c r="E15" s="62" t="str">
        <f>IF(ISERROR(VLOOKUP(D15,Categorias!A:B,2,0)),"",VLOOKUP(D15,Categorias!A:B,2,0))</f>
        <v>GASTOS VARIÁVEIS</v>
      </c>
      <c r="F15" s="80"/>
      <c r="G15" s="5"/>
      <c r="H15" s="79"/>
    </row>
    <row r="16" spans="1:8" ht="13.8">
      <c r="B16" s="74">
        <v>46057</v>
      </c>
      <c r="C16" s="68" t="s">
        <v>108</v>
      </c>
      <c r="D16" s="1" t="s">
        <v>0</v>
      </c>
      <c r="E16" s="62" t="str">
        <f>IF(ISERROR(VLOOKUP(D16,Categorias!A:B,2,0)),"",VLOOKUP(D16,Categorias!A:B,2,0))</f>
        <v>DESPESAS FIXAS</v>
      </c>
      <c r="F16" s="80"/>
      <c r="G16" s="5"/>
      <c r="H16" s="79"/>
    </row>
    <row r="17" spans="2:8" ht="13.8">
      <c r="B17" s="74">
        <v>46058</v>
      </c>
      <c r="C17" s="68" t="s">
        <v>109</v>
      </c>
      <c r="D17" s="1" t="s">
        <v>61</v>
      </c>
      <c r="E17" s="62" t="str">
        <f>IF(ISERROR(VLOOKUP(D17,Categorias!A:B,2,0)),"",VLOOKUP(D17,Categorias!A:B,2,0))</f>
        <v>RECEITA</v>
      </c>
      <c r="F17" s="80"/>
      <c r="G17" s="5"/>
      <c r="H17" s="79"/>
    </row>
    <row r="18" spans="2:8" ht="13.8">
      <c r="B18" s="74">
        <v>46059</v>
      </c>
      <c r="C18" s="68" t="s">
        <v>110</v>
      </c>
      <c r="D18" s="1" t="s">
        <v>58</v>
      </c>
      <c r="E18" s="62" t="str">
        <f>IF(ISERROR(VLOOKUP(D18,Categorias!A:B,2,0)),"",VLOOKUP(D18,Categorias!A:B,2,0))</f>
        <v>DESPESAS FIXAS</v>
      </c>
      <c r="F18" s="80"/>
      <c r="G18" s="5"/>
      <c r="H18" s="79"/>
    </row>
    <row r="19" spans="2:8" ht="13.8">
      <c r="B19" s="74">
        <v>46060</v>
      </c>
      <c r="C19" s="68" t="s">
        <v>111</v>
      </c>
      <c r="D19" s="1" t="s">
        <v>62</v>
      </c>
      <c r="E19" s="62" t="str">
        <f>IF(ISERROR(VLOOKUP(D19,Categorias!A:B,2,0)),"",VLOOKUP(D19,Categorias!A:B,2,0))</f>
        <v>DESPESAS FIXAS</v>
      </c>
      <c r="F19" s="80"/>
      <c r="G19" s="5"/>
      <c r="H19" s="79"/>
    </row>
    <row r="20" spans="2:8" ht="13.8">
      <c r="B20" s="74">
        <v>46061</v>
      </c>
      <c r="C20" s="68" t="s">
        <v>70</v>
      </c>
      <c r="D20" s="1" t="s">
        <v>70</v>
      </c>
      <c r="E20" s="62" t="str">
        <f>IF(ISERROR(VLOOKUP(D20,Categorias!A:B,2,0)),"",VLOOKUP(D20,Categorias!A:B,2,0))</f>
        <v>DESPESAS FIXAS</v>
      </c>
      <c r="F20" s="80"/>
      <c r="G20" s="5"/>
      <c r="H20" s="79"/>
    </row>
    <row r="21" spans="2:8" ht="13.8">
      <c r="B21" s="74">
        <v>46062</v>
      </c>
      <c r="C21" s="68" t="s">
        <v>112</v>
      </c>
      <c r="D21" s="1" t="s">
        <v>64</v>
      </c>
      <c r="E21" s="62" t="str">
        <f>IF(ISERROR(VLOOKUP(D21,Categorias!A:B,2,0)),"",VLOOKUP(D21,Categorias!A:B,2,0))</f>
        <v>NÃO OPERACIONAL</v>
      </c>
      <c r="F21" s="80"/>
      <c r="G21" s="5"/>
      <c r="H21" s="79"/>
    </row>
    <row r="22" spans="2:8" ht="13.8">
      <c r="B22" s="74">
        <v>46063</v>
      </c>
      <c r="C22" s="68" t="s">
        <v>113</v>
      </c>
      <c r="D22" s="1" t="s">
        <v>65</v>
      </c>
      <c r="E22" s="62" t="str">
        <f>IF(ISERROR(VLOOKUP(D22,Categorias!A:B,2,0)),"",VLOOKUP(D22,Categorias!A:B,2,0))</f>
        <v>NÃO OPERACIONAL</v>
      </c>
      <c r="F22" s="80"/>
      <c r="G22" s="5"/>
      <c r="H22" s="79"/>
    </row>
    <row r="23" spans="2:8" ht="13.8">
      <c r="B23" s="74">
        <v>46064</v>
      </c>
      <c r="C23" s="68" t="s">
        <v>114</v>
      </c>
      <c r="D23" s="1" t="s">
        <v>67</v>
      </c>
      <c r="E23" s="62" t="str">
        <f>IF(ISERROR(VLOOKUP(D23,Categorias!A:B,2,0)),"",VLOOKUP(D23,Categorias!A:B,2,0))</f>
        <v>INVESTIMENTOS</v>
      </c>
      <c r="F23" s="80"/>
      <c r="G23" s="5"/>
      <c r="H23" s="79"/>
    </row>
    <row r="24" spans="2:8" ht="13.8">
      <c r="B24" s="74">
        <v>46065</v>
      </c>
      <c r="C24" s="68" t="s">
        <v>109</v>
      </c>
      <c r="D24" s="1" t="s">
        <v>61</v>
      </c>
      <c r="E24" s="62" t="str">
        <f>IF(ISERROR(VLOOKUP(D24,Categorias!A:B,2,0)),"",VLOOKUP(D24,Categorias!A:B,2,0))</f>
        <v>RECEITA</v>
      </c>
      <c r="F24" s="80"/>
      <c r="G24" s="5"/>
      <c r="H24" s="79"/>
    </row>
    <row r="25" spans="2:8" ht="13.8">
      <c r="B25" s="74">
        <v>46066</v>
      </c>
      <c r="C25" s="68" t="s">
        <v>115</v>
      </c>
      <c r="D25" s="1" t="s">
        <v>12</v>
      </c>
      <c r="E25" s="62" t="str">
        <f>IF(ISERROR(VLOOKUP(D25,Categorias!A:B,2,0)),"",VLOOKUP(D25,Categorias!A:B,2,0))</f>
        <v>NÃO OPERACIONAL</v>
      </c>
      <c r="F25" s="80"/>
      <c r="G25" s="5"/>
      <c r="H25" s="79"/>
    </row>
    <row r="26" spans="2:8" ht="13.8">
      <c r="B26" s="74">
        <v>46067</v>
      </c>
      <c r="C26" s="68" t="s">
        <v>116</v>
      </c>
      <c r="D26" s="1" t="s">
        <v>63</v>
      </c>
      <c r="E26" s="62" t="str">
        <f>IF(ISERROR(VLOOKUP(D26,Categorias!A:B,2,0)),"",VLOOKUP(D26,Categorias!A:B,2,0))</f>
        <v>DESPESAS FIXAS</v>
      </c>
      <c r="F26" s="80"/>
      <c r="G26" s="5"/>
      <c r="H26" s="79"/>
    </row>
    <row r="27" spans="2:8" ht="13.8">
      <c r="B27" s="74">
        <v>46068</v>
      </c>
      <c r="C27" s="68" t="s">
        <v>117</v>
      </c>
      <c r="D27" s="1" t="s">
        <v>6</v>
      </c>
      <c r="E27" s="62" t="str">
        <f>IF(ISERROR(VLOOKUP(D27,Categorias!A:B,2,0)),"",VLOOKUP(D27,Categorias!A:B,2,0))</f>
        <v>INVESTIMENTOS</v>
      </c>
      <c r="F27" s="80"/>
      <c r="G27" s="5"/>
      <c r="H27" s="79"/>
    </row>
    <row r="28" spans="2:8" ht="13.8">
      <c r="B28" s="74">
        <v>46069</v>
      </c>
      <c r="C28" s="68" t="s">
        <v>109</v>
      </c>
      <c r="D28" s="1" t="s">
        <v>61</v>
      </c>
      <c r="E28" s="62" t="str">
        <f>IF(ISERROR(VLOOKUP(D28,Categorias!A:B,2,0)),"",VLOOKUP(D28,Categorias!A:B,2,0))</f>
        <v>RECEITA</v>
      </c>
      <c r="F28" s="80"/>
      <c r="G28" s="5"/>
      <c r="H28" s="79"/>
    </row>
    <row r="29" spans="2:8" ht="13.8">
      <c r="B29" s="74">
        <v>46070</v>
      </c>
      <c r="C29" s="68" t="s">
        <v>119</v>
      </c>
      <c r="D29" s="1" t="s">
        <v>8</v>
      </c>
      <c r="E29" s="62" t="str">
        <f>IF(ISERROR(VLOOKUP(D29,Categorias!A:B,2,0)),"",VLOOKUP(D29,Categorias!A:B,2,0))</f>
        <v>NÃO OPERACIONAL</v>
      </c>
      <c r="F29" s="80"/>
      <c r="G29" s="5"/>
      <c r="H29" s="79"/>
    </row>
    <row r="30" spans="2:8" ht="13.8">
      <c r="B30" s="74">
        <v>46071</v>
      </c>
      <c r="C30" s="68"/>
      <c r="D30" s="1"/>
      <c r="E30" s="62" t="str">
        <f>IF(ISERROR(VLOOKUP(D30,Categorias!A:B,2,0)),"",VLOOKUP(D30,Categorias!A:B,2,0))</f>
        <v/>
      </c>
      <c r="F30" s="80"/>
      <c r="G30" s="5"/>
      <c r="H30" s="79"/>
    </row>
    <row r="31" spans="2:8" ht="13.8">
      <c r="B31" s="74">
        <v>46072</v>
      </c>
      <c r="C31" s="68"/>
      <c r="D31" s="1"/>
      <c r="E31" s="62" t="str">
        <f>IF(ISERROR(VLOOKUP(D31,Categorias!A:B,2,0)),"",VLOOKUP(D31,Categorias!A:B,2,0))</f>
        <v/>
      </c>
      <c r="F31" s="80"/>
      <c r="G31" s="5"/>
      <c r="H31" s="73"/>
    </row>
    <row r="32" spans="2:8" ht="13.8">
      <c r="B32" s="74">
        <v>46073</v>
      </c>
      <c r="C32" s="70"/>
      <c r="D32" s="1"/>
      <c r="E32" s="62" t="str">
        <f>IF(ISERROR(VLOOKUP(D32,Categorias!A:B,2,0)),"",VLOOKUP(D32,Categorias!A:B,2,0))</f>
        <v/>
      </c>
      <c r="F32" s="80"/>
      <c r="G32" s="5"/>
      <c r="H32" s="73"/>
    </row>
    <row r="33" spans="2:8" ht="13.8">
      <c r="B33" s="74">
        <v>46074</v>
      </c>
      <c r="C33" s="70"/>
      <c r="D33" s="1"/>
      <c r="E33" s="62" t="str">
        <f>IF(ISERROR(VLOOKUP(D33,Categorias!A:B,2,0)),"",VLOOKUP(D33,Categorias!A:B,2,0))</f>
        <v/>
      </c>
      <c r="F33" s="80"/>
      <c r="G33" s="5"/>
      <c r="H33" s="73"/>
    </row>
    <row r="34" spans="2:8" ht="13.8">
      <c r="B34" s="74">
        <v>46075</v>
      </c>
      <c r="C34" s="70"/>
      <c r="D34" s="1"/>
      <c r="E34" s="62" t="str">
        <f>IF(ISERROR(VLOOKUP(D34,Categorias!A:B,2,0)),"",VLOOKUP(D34,Categorias!A:B,2,0))</f>
        <v/>
      </c>
      <c r="F34" s="80"/>
      <c r="G34" s="5"/>
      <c r="H34" s="73"/>
    </row>
    <row r="35" spans="2:8" ht="13.8">
      <c r="B35" s="74">
        <v>46076</v>
      </c>
      <c r="C35" s="70"/>
      <c r="D35" s="1"/>
      <c r="E35" s="62" t="str">
        <f>IF(ISERROR(VLOOKUP(D35,Categorias!A:B,2,0)),"",VLOOKUP(D35,Categorias!A:B,2,0))</f>
        <v/>
      </c>
      <c r="F35" s="80"/>
      <c r="G35" s="5"/>
      <c r="H35" s="73"/>
    </row>
    <row r="36" spans="2:8" ht="13.8">
      <c r="B36" s="74">
        <v>46077</v>
      </c>
      <c r="C36" s="70"/>
      <c r="D36" s="1"/>
      <c r="E36" s="62" t="str">
        <f>IF(ISERROR(VLOOKUP(D36,Categorias!A:B,2,0)),"",VLOOKUP(D36,Categorias!A:B,2,0))</f>
        <v/>
      </c>
      <c r="F36" s="80"/>
      <c r="G36" s="5"/>
      <c r="H36" s="73"/>
    </row>
    <row r="37" spans="2:8" ht="13.8">
      <c r="B37" s="74">
        <v>46078</v>
      </c>
      <c r="C37" s="70"/>
      <c r="D37" s="1"/>
      <c r="E37" s="62" t="str">
        <f>IF(ISERROR(VLOOKUP(D37,Categorias!A:B,2,0)),"",VLOOKUP(D37,Categorias!A:B,2,0))</f>
        <v/>
      </c>
      <c r="F37" s="80"/>
      <c r="G37" s="5"/>
      <c r="H37" s="73"/>
    </row>
    <row r="38" spans="2:8" ht="13.8">
      <c r="B38" s="74">
        <v>46079</v>
      </c>
      <c r="C38" s="69"/>
      <c r="D38" s="1"/>
      <c r="E38" s="62" t="str">
        <f>IF(ISERROR(VLOOKUP(D38,Categorias!A:B,2,0)),"",VLOOKUP(D38,Categorias!A:B,2,0))</f>
        <v/>
      </c>
      <c r="F38" s="80"/>
      <c r="G38" s="5"/>
      <c r="H38" s="73"/>
    </row>
    <row r="39" spans="2:8" ht="13.8">
      <c r="B39" s="74">
        <v>46080</v>
      </c>
      <c r="C39" s="70"/>
      <c r="D39" s="1"/>
      <c r="E39" s="62" t="str">
        <f>IF(ISERROR(VLOOKUP(D39,Categorias!A:B,2,0)),"",VLOOKUP(D39,Categorias!A:B,2,0))</f>
        <v/>
      </c>
      <c r="F39" s="80"/>
      <c r="G39" s="5"/>
      <c r="H39" s="73"/>
    </row>
    <row r="40" spans="2:8" ht="13.8">
      <c r="B40" s="74">
        <v>46081</v>
      </c>
      <c r="C40" s="70"/>
      <c r="D40" s="1"/>
      <c r="E40" s="62" t="str">
        <f>IF(ISERROR(VLOOKUP(D40,Categorias!A:B,2,0)),"",VLOOKUP(D40,Categorias!A:B,2,0))</f>
        <v/>
      </c>
      <c r="F40" s="80"/>
      <c r="G40" s="5"/>
      <c r="H40" s="73"/>
    </row>
    <row r="41" spans="2:8" ht="13.8">
      <c r="B41" s="74">
        <v>46082</v>
      </c>
      <c r="C41" s="70"/>
      <c r="D41" s="1"/>
      <c r="E41" s="62" t="str">
        <f>IF(ISERROR(VLOOKUP(D41,Categorias!A:B,2,0)),"",VLOOKUP(D41,Categorias!A:B,2,0))</f>
        <v/>
      </c>
      <c r="F41" s="80"/>
      <c r="G41" s="5"/>
      <c r="H41" s="73"/>
    </row>
    <row r="42" spans="2:8" ht="13.8">
      <c r="B42" s="75"/>
      <c r="C42" s="70"/>
      <c r="D42" s="1"/>
      <c r="E42" s="62" t="str">
        <f>IF(ISERROR(VLOOKUP(D42,Categorias!A:B,2,0)),"",VLOOKUP(D42,Categorias!A:B,2,0))</f>
        <v/>
      </c>
      <c r="F42" s="80"/>
      <c r="G42" s="5"/>
      <c r="H42" s="73"/>
    </row>
    <row r="43" spans="2:8" ht="13.8">
      <c r="B43" s="75"/>
      <c r="C43" s="70"/>
      <c r="D43" s="1"/>
      <c r="E43" s="62" t="str">
        <f>IF(ISERROR(VLOOKUP(D43,Categorias!A:B,2,0)),"",VLOOKUP(D43,Categorias!A:B,2,0))</f>
        <v/>
      </c>
      <c r="F43" s="80"/>
      <c r="G43" s="5"/>
      <c r="H43" s="73"/>
    </row>
    <row r="44" spans="2:8" ht="13.8">
      <c r="B44" s="75"/>
      <c r="D44" s="1"/>
      <c r="E44" s="62" t="str">
        <f>IF(ISERROR(VLOOKUP(D44,Categorias!A:B,2,0)),"",VLOOKUP(D44,Categorias!A:B,2,0))</f>
        <v/>
      </c>
      <c r="F44" s="80"/>
      <c r="G44" s="5"/>
      <c r="H44" s="73"/>
    </row>
    <row r="45" spans="2:8" ht="13.8">
      <c r="B45" s="75"/>
      <c r="D45" s="1"/>
      <c r="E45" s="62" t="str">
        <f>IF(ISERROR(VLOOKUP(D45,Categorias!A:B,2,0)),"",VLOOKUP(D45,Categorias!A:B,2,0))</f>
        <v/>
      </c>
      <c r="F45" s="80"/>
      <c r="G45" s="5"/>
      <c r="H45" s="73"/>
    </row>
    <row r="46" spans="2:8" ht="13.8">
      <c r="B46" s="75"/>
      <c r="D46" s="1"/>
      <c r="E46" s="62" t="str">
        <f>IF(ISERROR(VLOOKUP(D46,Categorias!A:B,2,0)),"",VLOOKUP(D46,Categorias!A:B,2,0))</f>
        <v/>
      </c>
      <c r="F46" s="80"/>
      <c r="G46" s="5"/>
      <c r="H46" s="73"/>
    </row>
    <row r="47" spans="2:8" ht="13.8">
      <c r="B47" s="75"/>
      <c r="D47" s="1"/>
      <c r="E47" s="62" t="str">
        <f>IF(ISERROR(VLOOKUP(D47,Categorias!A:B,2,0)),"",VLOOKUP(D47,Categorias!A:B,2,0))</f>
        <v/>
      </c>
      <c r="F47" s="80"/>
      <c r="G47" s="5"/>
      <c r="H47" s="73"/>
    </row>
    <row r="48" spans="2:8" ht="13.8">
      <c r="B48" s="75"/>
      <c r="D48" s="1"/>
      <c r="E48" s="62" t="str">
        <f>IF(ISERROR(VLOOKUP(D48,Categorias!A:B,2,0)),"",VLOOKUP(D48,Categorias!A:B,2,0))</f>
        <v/>
      </c>
      <c r="F48" s="80"/>
      <c r="G48" s="5"/>
      <c r="H48" s="73"/>
    </row>
    <row r="49" spans="2:8" ht="13.8">
      <c r="B49" s="75"/>
      <c r="D49" s="1"/>
      <c r="E49" s="62" t="str">
        <f>IF(ISERROR(VLOOKUP(D49,Categorias!A:B,2,0)),"",VLOOKUP(D49,Categorias!A:B,2,0))</f>
        <v/>
      </c>
      <c r="F49" s="80"/>
      <c r="G49" s="5"/>
      <c r="H49" s="73"/>
    </row>
    <row r="50" spans="2:8" ht="13.8">
      <c r="B50" s="75"/>
      <c r="D50" s="1"/>
      <c r="E50" s="62" t="str">
        <f>IF(ISERROR(VLOOKUP(D50,Categorias!A:B,2,0)),"",VLOOKUP(D50,Categorias!A:B,2,0))</f>
        <v/>
      </c>
      <c r="F50" s="80"/>
      <c r="G50" s="5"/>
      <c r="H50" s="73"/>
    </row>
    <row r="51" spans="2:8" ht="13.8">
      <c r="B51" s="75"/>
      <c r="D51" s="1"/>
      <c r="E51" s="62" t="str">
        <f>IF(ISERROR(VLOOKUP(D51,Categorias!A:B,2,0)),"",VLOOKUP(D51,Categorias!A:B,2,0))</f>
        <v/>
      </c>
      <c r="F51" s="80"/>
      <c r="G51" s="5"/>
      <c r="H51" s="73"/>
    </row>
    <row r="52" spans="2:8" ht="13.8">
      <c r="B52" s="75"/>
      <c r="D52" s="1"/>
      <c r="E52" s="62" t="str">
        <f>IF(ISERROR(VLOOKUP(D52,Categorias!A:B,2,0)),"",VLOOKUP(D52,Categorias!A:B,2,0))</f>
        <v/>
      </c>
      <c r="F52" s="80"/>
      <c r="G52" s="5"/>
      <c r="H52" s="73"/>
    </row>
    <row r="53" spans="2:8" ht="13.8">
      <c r="B53" s="75"/>
      <c r="D53" s="1"/>
      <c r="E53" s="62" t="str">
        <f>IF(ISERROR(VLOOKUP(D53,Categorias!A:B,2,0)),"",VLOOKUP(D53,Categorias!A:B,2,0))</f>
        <v/>
      </c>
      <c r="F53" s="80"/>
      <c r="G53" s="5"/>
      <c r="H53" s="73"/>
    </row>
    <row r="54" spans="2:8" ht="13.8">
      <c r="B54" s="75"/>
      <c r="D54" s="1"/>
      <c r="E54" s="62" t="str">
        <f>IF(ISERROR(VLOOKUP(D54,Categorias!A:B,2,0)),"",VLOOKUP(D54,Categorias!A:B,2,0))</f>
        <v/>
      </c>
      <c r="F54" s="80"/>
      <c r="G54" s="5"/>
      <c r="H54" s="73"/>
    </row>
    <row r="55" spans="2:8" ht="13.8">
      <c r="B55" s="75"/>
      <c r="D55" s="1"/>
      <c r="E55" s="62" t="str">
        <f>IF(ISERROR(VLOOKUP(D55,Categorias!A:B,2,0)),"",VLOOKUP(D55,Categorias!A:B,2,0))</f>
        <v/>
      </c>
      <c r="F55" s="80"/>
      <c r="G55" s="5"/>
      <c r="H55" s="73"/>
    </row>
    <row r="56" spans="2:8" ht="13.8">
      <c r="B56" s="75"/>
      <c r="D56" s="1"/>
      <c r="E56" s="62" t="str">
        <f>IF(ISERROR(VLOOKUP(D56,Categorias!A:B,2,0)),"",VLOOKUP(D56,Categorias!A:B,2,0))</f>
        <v/>
      </c>
      <c r="F56" s="80"/>
      <c r="G56" s="5"/>
      <c r="H56" s="73"/>
    </row>
    <row r="57" spans="2:8" ht="13.8">
      <c r="B57" s="75"/>
      <c r="D57" s="1"/>
      <c r="E57" s="62" t="str">
        <f>IF(ISERROR(VLOOKUP(D57,Categorias!A:B,2,0)),"",VLOOKUP(D57,Categorias!A:B,2,0))</f>
        <v/>
      </c>
      <c r="F57" s="80"/>
      <c r="G57" s="5"/>
      <c r="H57" s="73"/>
    </row>
    <row r="58" spans="2:8" ht="13.8">
      <c r="B58" s="75"/>
      <c r="D58" s="1"/>
      <c r="E58" s="62" t="str">
        <f>IF(ISERROR(VLOOKUP(D58,Categorias!A:B,2,0)),"",VLOOKUP(D58,Categorias!A:B,2,0))</f>
        <v/>
      </c>
      <c r="F58" s="80"/>
      <c r="G58" s="5"/>
      <c r="H58" s="73"/>
    </row>
    <row r="59" spans="2:8" ht="13.8">
      <c r="B59" s="75"/>
      <c r="D59" s="1"/>
      <c r="E59" s="1" t="str">
        <f>IF(ISERROR(VLOOKUP(D59,Categorias!A:B,2,0)),"",VLOOKUP(D59,Categorias!A:B,2,0))</f>
        <v/>
      </c>
      <c r="F59" s="80"/>
      <c r="G59" s="5"/>
      <c r="H59" s="73"/>
    </row>
    <row r="60" spans="2:8" ht="13.8">
      <c r="B60" s="75"/>
      <c r="D60" s="1"/>
      <c r="E60" s="1" t="str">
        <f>IF(ISERROR(VLOOKUP(D60,Categorias!A:B,2,0)),"",VLOOKUP(D60,Categorias!A:B,2,0))</f>
        <v/>
      </c>
      <c r="F60" s="80"/>
      <c r="G60" s="5"/>
      <c r="H60" s="73"/>
    </row>
    <row r="61" spans="2:8" ht="13.8">
      <c r="B61" s="75"/>
      <c r="D61" s="1"/>
      <c r="E61" s="1" t="str">
        <f>IF(ISERROR(VLOOKUP(D61,Categorias!A:B,2,0)),"",VLOOKUP(D61,Categorias!A:B,2,0))</f>
        <v/>
      </c>
      <c r="F61" s="80"/>
      <c r="G61" s="5"/>
      <c r="H61" s="73"/>
    </row>
    <row r="62" spans="2:8" ht="13.8">
      <c r="B62" s="75"/>
      <c r="D62" s="1"/>
      <c r="E62" s="1" t="str">
        <f>IF(ISERROR(VLOOKUP(D62,Categorias!A:B,2,0)),"",VLOOKUP(D62,Categorias!A:B,2,0))</f>
        <v/>
      </c>
      <c r="F62" s="80"/>
      <c r="G62" s="5"/>
      <c r="H62" s="73"/>
    </row>
    <row r="63" spans="2:8" ht="13.8">
      <c r="B63" s="75"/>
      <c r="D63" s="1"/>
      <c r="E63" s="1" t="str">
        <f>IF(ISERROR(VLOOKUP(D63,Categorias!A:B,2,0)),"",VLOOKUP(D63,Categorias!A:B,2,0))</f>
        <v/>
      </c>
      <c r="F63" s="80"/>
      <c r="G63" s="5"/>
      <c r="H63" s="73"/>
    </row>
    <row r="64" spans="2:8" ht="13.8">
      <c r="B64" s="75"/>
      <c r="D64" s="1"/>
      <c r="E64" s="1" t="str">
        <f>IF(ISERROR(VLOOKUP(D64,Categorias!A:B,2,0)),"",VLOOKUP(D64,Categorias!A:B,2,0))</f>
        <v/>
      </c>
      <c r="F64" s="80"/>
      <c r="G64" s="5"/>
      <c r="H64" s="73"/>
    </row>
    <row r="65" spans="2:8" ht="13.8">
      <c r="B65" s="75"/>
      <c r="D65" s="1"/>
      <c r="E65" s="1" t="str">
        <f>IF(ISERROR(VLOOKUP(D65,Categorias!A:B,2,0)),"",VLOOKUP(D65,Categorias!A:B,2,0))</f>
        <v/>
      </c>
      <c r="F65" s="80"/>
      <c r="G65" s="5"/>
      <c r="H65" s="73"/>
    </row>
    <row r="66" spans="2:8" ht="13.8">
      <c r="B66" s="75"/>
      <c r="D66" s="1"/>
      <c r="E66" s="1" t="str">
        <f>IF(ISERROR(VLOOKUP(D66,Categorias!A:B,2,0)),"",VLOOKUP(D66,Categorias!A:B,2,0))</f>
        <v/>
      </c>
      <c r="F66" s="80"/>
      <c r="G66" s="5"/>
      <c r="H66" s="73"/>
    </row>
    <row r="67" spans="2:8" ht="13.8">
      <c r="B67" s="75"/>
      <c r="D67" s="1"/>
      <c r="E67" s="1" t="str">
        <f>IF(ISERROR(VLOOKUP(D67,Categorias!A:B,2,0)),"",VLOOKUP(D67,Categorias!A:B,2,0))</f>
        <v/>
      </c>
      <c r="F67" s="80"/>
      <c r="G67" s="5"/>
      <c r="H67" s="73"/>
    </row>
    <row r="68" spans="2:8" ht="13.8">
      <c r="B68" s="75"/>
      <c r="D68" s="1"/>
      <c r="E68" s="1" t="str">
        <f>IF(ISERROR(VLOOKUP(D68,Categorias!A:B,2,0)),"",VLOOKUP(D68,Categorias!A:B,2,0))</f>
        <v/>
      </c>
      <c r="F68" s="80"/>
      <c r="G68" s="5"/>
      <c r="H68" s="73"/>
    </row>
    <row r="69" spans="2:8" ht="13.8">
      <c r="B69" s="75"/>
      <c r="D69" s="1"/>
      <c r="E69" s="1" t="str">
        <f>IF(ISERROR(VLOOKUP(D69,Categorias!A:B,2,0)),"",VLOOKUP(D69,Categorias!A:B,2,0))</f>
        <v/>
      </c>
      <c r="F69" s="80"/>
      <c r="G69" s="5"/>
      <c r="H69" s="73"/>
    </row>
    <row r="70" spans="2:8" ht="13.8">
      <c r="B70" s="75"/>
      <c r="D70" s="1"/>
      <c r="E70" s="1" t="str">
        <f>IF(ISERROR(VLOOKUP(D70,Categorias!A:B,2,0)),"",VLOOKUP(D70,Categorias!A:B,2,0))</f>
        <v/>
      </c>
      <c r="F70" s="80"/>
      <c r="G70" s="5"/>
      <c r="H70" s="73"/>
    </row>
    <row r="71" spans="2:8" ht="13.8">
      <c r="B71" s="75"/>
      <c r="D71" s="1"/>
      <c r="E71" s="1" t="str">
        <f>IF(ISERROR(VLOOKUP(D71,Categorias!A:B,2,0)),"",VLOOKUP(D71,Categorias!A:B,2,0))</f>
        <v/>
      </c>
      <c r="F71" s="80"/>
      <c r="G71" s="5"/>
      <c r="H71" s="73"/>
    </row>
    <row r="72" spans="2:8" ht="13.8">
      <c r="B72" s="75"/>
      <c r="D72" s="1"/>
      <c r="E72" s="1" t="str">
        <f>IF(ISERROR(VLOOKUP(D72,Categorias!A:B,2,0)),"",VLOOKUP(D72,Categorias!A:B,2,0))</f>
        <v/>
      </c>
      <c r="F72" s="80"/>
      <c r="G72" s="5"/>
      <c r="H72" s="73"/>
    </row>
    <row r="73" spans="2:8" ht="13.8">
      <c r="B73" s="75"/>
      <c r="D73" s="1"/>
      <c r="E73" s="1" t="str">
        <f>IF(ISERROR(VLOOKUP(D73,Categorias!A:B,2,0)),"",VLOOKUP(D73,Categorias!A:B,2,0))</f>
        <v/>
      </c>
      <c r="F73" s="80"/>
      <c r="G73" s="5"/>
      <c r="H73" s="73"/>
    </row>
    <row r="74" spans="2:8" ht="13.8">
      <c r="B74" s="75"/>
      <c r="D74" s="1"/>
      <c r="E74" s="1" t="str">
        <f>IF(ISERROR(VLOOKUP(D74,Categorias!A:B,2,0)),"",VLOOKUP(D74,Categorias!A:B,2,0))</f>
        <v/>
      </c>
      <c r="F74" s="80"/>
      <c r="G74" s="5"/>
      <c r="H74" s="73"/>
    </row>
    <row r="75" spans="2:8" ht="13.8">
      <c r="B75" s="75"/>
      <c r="D75" s="1"/>
      <c r="E75" s="1" t="str">
        <f>IF(ISERROR(VLOOKUP(D75,Categorias!A:B,2,0)),"",VLOOKUP(D75,Categorias!A:B,2,0))</f>
        <v/>
      </c>
      <c r="F75" s="80"/>
      <c r="G75" s="5"/>
      <c r="H75" s="73"/>
    </row>
    <row r="76" spans="2:8" ht="13.8">
      <c r="B76" s="75"/>
      <c r="D76" s="1"/>
      <c r="E76" s="1" t="str">
        <f>IF(ISERROR(VLOOKUP(D76,Categorias!A:B,2,0)),"",VLOOKUP(D76,Categorias!A:B,2,0))</f>
        <v/>
      </c>
      <c r="F76" s="80"/>
      <c r="G76" s="5"/>
      <c r="H76" s="73"/>
    </row>
    <row r="77" spans="2:8" ht="13.8">
      <c r="B77" s="75"/>
      <c r="D77" s="1"/>
      <c r="E77" s="1" t="str">
        <f>IF(ISERROR(VLOOKUP(D77,Categorias!A:B,2,0)),"",VLOOKUP(D77,Categorias!A:B,2,0))</f>
        <v/>
      </c>
      <c r="F77" s="80"/>
      <c r="G77" s="5"/>
      <c r="H77" s="73"/>
    </row>
    <row r="78" spans="2:8" ht="13.8">
      <c r="B78" s="91"/>
      <c r="D78" s="1"/>
      <c r="E78" s="1" t="str">
        <f>IF(ISERROR(VLOOKUP(D78,Categorias!A:B,2,0)),"",VLOOKUP(D78,Categorias!A:B,2,0))</f>
        <v/>
      </c>
      <c r="F78" s="80"/>
      <c r="G78" s="5"/>
      <c r="H78" s="73"/>
    </row>
    <row r="79" spans="2:8" ht="13.8">
      <c r="B79" s="91"/>
      <c r="D79" s="1"/>
      <c r="E79" s="1" t="str">
        <f>IF(ISERROR(VLOOKUP(D79,Categorias!A:B,2,0)),"",VLOOKUP(D79,Categorias!A:B,2,0))</f>
        <v/>
      </c>
      <c r="F79" s="80"/>
      <c r="G79" s="5"/>
      <c r="H79" s="73"/>
    </row>
    <row r="80" spans="2:8" ht="13.8">
      <c r="B80" s="91"/>
      <c r="D80" s="1"/>
      <c r="E80" s="1" t="str">
        <f>IF(ISERROR(VLOOKUP(D80,Categorias!A:B,2,0)),"",VLOOKUP(D80,Categorias!A:B,2,0))</f>
        <v/>
      </c>
      <c r="F80" s="80"/>
      <c r="G80" s="5"/>
      <c r="H80" s="73"/>
    </row>
    <row r="81" spans="2:8" ht="13.8">
      <c r="B81" s="91"/>
      <c r="D81" s="1"/>
      <c r="E81" s="1" t="str">
        <f>IF(ISERROR(VLOOKUP(D81,Categorias!A:B,2,0)),"",VLOOKUP(D81,Categorias!A:B,2,0))</f>
        <v/>
      </c>
      <c r="F81" s="80"/>
      <c r="G81" s="5"/>
      <c r="H81" s="73"/>
    </row>
    <row r="82" spans="2:8" ht="13.8">
      <c r="B82" s="91"/>
      <c r="D82" s="1"/>
      <c r="E82" s="1" t="str">
        <f>IF(ISERROR(VLOOKUP(D82,Categorias!A:B,2,0)),"",VLOOKUP(D82,Categorias!A:B,2,0))</f>
        <v/>
      </c>
      <c r="F82" s="80"/>
      <c r="G82" s="5"/>
      <c r="H82" s="73"/>
    </row>
    <row r="83" spans="2:8" ht="13.8">
      <c r="B83" s="91"/>
      <c r="D83" s="1"/>
      <c r="E83" s="1" t="str">
        <f>IF(ISERROR(VLOOKUP(D83,Categorias!A:B,2,0)),"",VLOOKUP(D83,Categorias!A:B,2,0))</f>
        <v/>
      </c>
      <c r="F83" s="80"/>
      <c r="G83" s="5"/>
      <c r="H83" s="73"/>
    </row>
    <row r="84" spans="2:8" ht="13.8">
      <c r="B84" s="91"/>
      <c r="D84" s="1"/>
      <c r="E84" s="1" t="str">
        <f>IF(ISERROR(VLOOKUP(D84,Categorias!A:B,2,0)),"",VLOOKUP(D84,Categorias!A:B,2,0))</f>
        <v/>
      </c>
      <c r="F84" s="80"/>
      <c r="G84" s="5"/>
      <c r="H84" s="73"/>
    </row>
    <row r="85" spans="2:8" ht="13.8">
      <c r="B85" s="91"/>
      <c r="D85" s="1"/>
      <c r="E85" s="1" t="str">
        <f>IF(ISERROR(VLOOKUP(D85,Categorias!A:B,2,0)),"",VLOOKUP(D85,Categorias!A:B,2,0))</f>
        <v/>
      </c>
      <c r="F85" s="80"/>
      <c r="G85" s="5"/>
      <c r="H85" s="73"/>
    </row>
    <row r="86" spans="2:8" ht="13.8">
      <c r="B86" s="91"/>
      <c r="D86" s="1"/>
      <c r="E86" s="1" t="str">
        <f>IF(ISERROR(VLOOKUP(D86,Categorias!A:B,2,0)),"",VLOOKUP(D86,Categorias!A:B,2,0))</f>
        <v/>
      </c>
      <c r="F86" s="80"/>
      <c r="G86" s="5"/>
      <c r="H86" s="73"/>
    </row>
    <row r="87" spans="2:8" ht="13.8">
      <c r="B87" s="91"/>
      <c r="D87" s="1"/>
      <c r="E87" s="1" t="str">
        <f>IF(ISERROR(VLOOKUP(D87,Categorias!A:B,2,0)),"",VLOOKUP(D87,Categorias!A:B,2,0))</f>
        <v/>
      </c>
      <c r="F87" s="80"/>
      <c r="G87" s="5"/>
      <c r="H87" s="73"/>
    </row>
    <row r="88" spans="2:8" ht="13.8">
      <c r="B88" s="91"/>
      <c r="D88" s="1"/>
      <c r="E88" s="1" t="str">
        <f>IF(ISERROR(VLOOKUP(D88,Categorias!A:B,2,0)),"",VLOOKUP(D88,Categorias!A:B,2,0))</f>
        <v/>
      </c>
      <c r="F88" s="80"/>
      <c r="G88" s="5"/>
      <c r="H88" s="73"/>
    </row>
    <row r="89" spans="2:8" ht="13.8">
      <c r="B89" s="91"/>
      <c r="D89" s="1"/>
      <c r="E89" s="1" t="str">
        <f>IF(ISERROR(VLOOKUP(D89,Categorias!A:B,2,0)),"",VLOOKUP(D89,Categorias!A:B,2,0))</f>
        <v/>
      </c>
      <c r="F89" s="80"/>
      <c r="G89" s="5"/>
      <c r="H89" s="73"/>
    </row>
    <row r="90" spans="2:8" ht="13.8">
      <c r="B90" s="91"/>
      <c r="D90" s="1"/>
      <c r="E90" s="1" t="str">
        <f>IF(ISERROR(VLOOKUP(D90,Categorias!A:B,2,0)),"",VLOOKUP(D90,Categorias!A:B,2,0))</f>
        <v/>
      </c>
      <c r="F90" s="80"/>
      <c r="G90" s="5"/>
      <c r="H90" s="73"/>
    </row>
    <row r="91" spans="2:8" ht="13.8">
      <c r="B91" s="91"/>
      <c r="D91" s="1"/>
      <c r="E91" s="1" t="str">
        <f>IF(ISERROR(VLOOKUP(D91,Categorias!A:B,2,0)),"",VLOOKUP(D91,Categorias!A:B,2,0))</f>
        <v/>
      </c>
      <c r="F91" s="80"/>
      <c r="G91" s="5"/>
      <c r="H91" s="73"/>
    </row>
    <row r="92" spans="2:8" ht="13.8">
      <c r="B92" s="91"/>
      <c r="D92" s="1"/>
      <c r="E92" s="1" t="str">
        <f>IF(ISERROR(VLOOKUP(D92,Categorias!A:B,2,0)),"",VLOOKUP(D92,Categorias!A:B,2,0))</f>
        <v/>
      </c>
      <c r="F92" s="80"/>
      <c r="G92" s="5"/>
      <c r="H92" s="73"/>
    </row>
    <row r="93" spans="2:8" ht="13.8">
      <c r="B93" s="91"/>
      <c r="D93" s="1"/>
      <c r="E93" s="1" t="str">
        <f>IF(ISERROR(VLOOKUP(D93,Categorias!A:B,2,0)),"",VLOOKUP(D93,Categorias!A:B,2,0))</f>
        <v/>
      </c>
      <c r="F93" s="80"/>
      <c r="G93" s="5"/>
      <c r="H93" s="73"/>
    </row>
    <row r="94" spans="2:8" ht="13.8">
      <c r="B94" s="91"/>
      <c r="D94" s="1"/>
      <c r="E94" s="1" t="str">
        <f>IF(ISERROR(VLOOKUP(D94,Categorias!A:B,2,0)),"",VLOOKUP(D94,Categorias!A:B,2,0))</f>
        <v/>
      </c>
      <c r="F94" s="80"/>
      <c r="G94" s="5"/>
      <c r="H94" s="73"/>
    </row>
    <row r="95" spans="2:8" ht="13.8">
      <c r="B95" s="91"/>
      <c r="D95" s="1"/>
      <c r="E95" s="1" t="str">
        <f>IF(ISERROR(VLOOKUP(D95,Categorias!A:B,2,0)),"",VLOOKUP(D95,Categorias!A:B,2,0))</f>
        <v/>
      </c>
      <c r="F95" s="80"/>
      <c r="G95" s="5"/>
      <c r="H95" s="73"/>
    </row>
    <row r="96" spans="2:8" ht="13.8">
      <c r="B96" s="91"/>
      <c r="D96" s="1"/>
      <c r="E96" s="1" t="str">
        <f>IF(ISERROR(VLOOKUP(D96,Categorias!A:B,2,0)),"",VLOOKUP(D96,Categorias!A:B,2,0))</f>
        <v/>
      </c>
      <c r="F96" s="80"/>
      <c r="G96" s="5"/>
      <c r="H96" s="73"/>
    </row>
    <row r="97" spans="2:8" ht="13.8">
      <c r="B97" s="91"/>
      <c r="D97" s="1"/>
      <c r="E97" s="1" t="str">
        <f>IF(ISERROR(VLOOKUP(D97,Categorias!A:B,2,0)),"",VLOOKUP(D97,Categorias!A:B,2,0))</f>
        <v/>
      </c>
      <c r="F97" s="80"/>
      <c r="G97" s="5"/>
      <c r="H97" s="73"/>
    </row>
    <row r="98" spans="2:8" ht="13.8">
      <c r="B98" s="91"/>
      <c r="D98" s="1"/>
      <c r="E98" s="1" t="str">
        <f>IF(ISERROR(VLOOKUP(D98,Categorias!A:B,2,0)),"",VLOOKUP(D98,Categorias!A:B,2,0))</f>
        <v/>
      </c>
      <c r="F98" s="80"/>
      <c r="G98" s="5"/>
      <c r="H98" s="73"/>
    </row>
    <row r="99" spans="2:8" ht="13.8">
      <c r="B99" s="91"/>
      <c r="D99" s="1"/>
      <c r="E99" s="1" t="str">
        <f>IF(ISERROR(VLOOKUP(D99,Categorias!A:B,2,0)),"",VLOOKUP(D99,Categorias!A:B,2,0))</f>
        <v/>
      </c>
      <c r="F99" s="80"/>
      <c r="G99" s="5"/>
      <c r="H99" s="73"/>
    </row>
    <row r="100" spans="2:8" ht="13.8">
      <c r="B100" s="91"/>
      <c r="D100" s="1"/>
      <c r="E100" s="1" t="str">
        <f>IF(ISERROR(VLOOKUP(D100,Categorias!A:B,2,0)),"",VLOOKUP(D100,Categorias!A:B,2,0))</f>
        <v/>
      </c>
      <c r="F100" s="80"/>
      <c r="G100" s="5"/>
      <c r="H100" s="73"/>
    </row>
    <row r="101" spans="2:8" ht="13.8">
      <c r="B101" s="91"/>
      <c r="D101" s="1"/>
      <c r="E101" s="1" t="str">
        <f>IF(ISERROR(VLOOKUP(D101,Categorias!A:B,2,0)),"",VLOOKUP(D101,Categorias!A:B,2,0))</f>
        <v/>
      </c>
      <c r="F101" s="80"/>
      <c r="G101" s="5"/>
      <c r="H101" s="73"/>
    </row>
    <row r="102" spans="2:8" ht="13.8">
      <c r="B102" s="91"/>
      <c r="D102" s="1"/>
      <c r="E102" s="1" t="str">
        <f>IF(ISERROR(VLOOKUP(D102,Categorias!A:B,2,0)),"",VLOOKUP(D102,Categorias!A:B,2,0))</f>
        <v/>
      </c>
      <c r="F102" s="80"/>
      <c r="G102" s="5"/>
      <c r="H102" s="73"/>
    </row>
    <row r="103" spans="2:8" ht="13.8">
      <c r="B103" s="91"/>
      <c r="D103" s="1"/>
      <c r="E103" s="1" t="str">
        <f>IF(ISERROR(VLOOKUP(D103,Categorias!A:B,2,0)),"",VLOOKUP(D103,Categorias!A:B,2,0))</f>
        <v/>
      </c>
      <c r="F103" s="80"/>
      <c r="G103" s="5"/>
      <c r="H103" s="73"/>
    </row>
    <row r="104" spans="2:8" ht="13.8">
      <c r="B104" s="91"/>
      <c r="D104" s="1"/>
      <c r="E104" s="1" t="str">
        <f>IF(ISERROR(VLOOKUP(D104,Categorias!A:B,2,0)),"",VLOOKUP(D104,Categorias!A:B,2,0))</f>
        <v/>
      </c>
      <c r="F104" s="80"/>
      <c r="G104" s="5"/>
      <c r="H104" s="73"/>
    </row>
    <row r="105" spans="2:8" ht="13.8">
      <c r="B105" s="91"/>
      <c r="D105" s="1"/>
      <c r="E105" s="1" t="str">
        <f>IF(ISERROR(VLOOKUP(D105,Categorias!A:B,2,0)),"",VLOOKUP(D105,Categorias!A:B,2,0))</f>
        <v/>
      </c>
      <c r="F105" s="80"/>
      <c r="G105" s="5"/>
      <c r="H105" s="73"/>
    </row>
    <row r="106" spans="2:8" ht="13.8">
      <c r="B106" s="91"/>
      <c r="D106" s="1"/>
      <c r="E106" s="1" t="str">
        <f>IF(ISERROR(VLOOKUP(D106,Categorias!A:B,2,0)),"",VLOOKUP(D106,Categorias!A:B,2,0))</f>
        <v/>
      </c>
      <c r="F106" s="80"/>
      <c r="G106" s="5"/>
      <c r="H106" s="73"/>
    </row>
    <row r="107" spans="2:8" ht="13.8">
      <c r="B107" s="91"/>
      <c r="D107" s="1"/>
      <c r="E107" s="1" t="str">
        <f>IF(ISERROR(VLOOKUP(D107,Categorias!A:B,2,0)),"",VLOOKUP(D107,Categorias!A:B,2,0))</f>
        <v/>
      </c>
      <c r="F107" s="80"/>
      <c r="G107" s="5"/>
      <c r="H107" s="73"/>
    </row>
    <row r="108" spans="2:8" ht="13.8">
      <c r="B108" s="91"/>
      <c r="D108" s="1"/>
      <c r="E108" s="1" t="str">
        <f>IF(ISERROR(VLOOKUP(D108,Categorias!A:B,2,0)),"",VLOOKUP(D108,Categorias!A:B,2,0))</f>
        <v/>
      </c>
      <c r="F108" s="80"/>
      <c r="G108" s="5"/>
      <c r="H108" s="73"/>
    </row>
    <row r="109" spans="2:8" ht="13.8">
      <c r="B109" s="91"/>
      <c r="D109" s="1"/>
      <c r="E109" s="1" t="str">
        <f>IF(ISERROR(VLOOKUP(D109,Categorias!A:B,2,0)),"",VLOOKUP(D109,Categorias!A:B,2,0))</f>
        <v/>
      </c>
      <c r="F109" s="80"/>
      <c r="G109" s="5"/>
      <c r="H109" s="73"/>
    </row>
    <row r="110" spans="2:8" ht="13.8">
      <c r="B110" s="91"/>
      <c r="D110" s="1"/>
      <c r="E110" s="1" t="str">
        <f>IF(ISERROR(VLOOKUP(D110,Categorias!A:B,2,0)),"",VLOOKUP(D110,Categorias!A:B,2,0))</f>
        <v/>
      </c>
      <c r="F110" s="80"/>
      <c r="G110" s="5"/>
      <c r="H110" s="73"/>
    </row>
    <row r="111" spans="2:8" ht="13.8">
      <c r="B111" s="91"/>
      <c r="D111" s="1"/>
      <c r="E111" s="1" t="str">
        <f>IF(ISERROR(VLOOKUP(D111,Categorias!A:B,2,0)),"",VLOOKUP(D111,Categorias!A:B,2,0))</f>
        <v/>
      </c>
      <c r="F111" s="80"/>
      <c r="G111" s="5"/>
      <c r="H111" s="73"/>
    </row>
    <row r="112" spans="2:8" ht="13.8">
      <c r="B112" s="91"/>
      <c r="D112" s="1"/>
      <c r="E112" s="1" t="str">
        <f>IF(ISERROR(VLOOKUP(D112,Categorias!A:B,2,0)),"",VLOOKUP(D112,Categorias!A:B,2,0))</f>
        <v/>
      </c>
      <c r="F112" s="80"/>
      <c r="G112" s="5"/>
      <c r="H112" s="73"/>
    </row>
    <row r="113" spans="2:8" ht="13.8">
      <c r="B113" s="91"/>
      <c r="D113" s="1"/>
      <c r="E113" s="1" t="str">
        <f>IF(ISERROR(VLOOKUP(D113,Categorias!A:B,2,0)),"",VLOOKUP(D113,Categorias!A:B,2,0))</f>
        <v/>
      </c>
      <c r="F113" s="80"/>
      <c r="G113" s="5"/>
      <c r="H113" s="73"/>
    </row>
    <row r="114" spans="2:8" ht="13.8">
      <c r="B114" s="91"/>
      <c r="D114" s="1"/>
      <c r="E114" s="1" t="str">
        <f>IF(ISERROR(VLOOKUP(D114,Categorias!A:B,2,0)),"",VLOOKUP(D114,Categorias!A:B,2,0))</f>
        <v/>
      </c>
      <c r="F114" s="80"/>
      <c r="G114" s="5"/>
      <c r="H114" s="73"/>
    </row>
    <row r="115" spans="2:8" ht="13.8">
      <c r="B115" s="91"/>
      <c r="D115" s="1"/>
      <c r="E115" s="1" t="str">
        <f>IF(ISERROR(VLOOKUP(D115,Categorias!A:B,2,0)),"",VLOOKUP(D115,Categorias!A:B,2,0))</f>
        <v/>
      </c>
      <c r="F115" s="80"/>
      <c r="G115" s="5"/>
      <c r="H115" s="73"/>
    </row>
    <row r="116" spans="2:8" ht="13.8">
      <c r="B116" s="91"/>
      <c r="D116" s="1"/>
      <c r="E116" s="1" t="str">
        <f>IF(ISERROR(VLOOKUP(D116,Categorias!A:B,2,0)),"",VLOOKUP(D116,Categorias!A:B,2,0))</f>
        <v/>
      </c>
      <c r="F116" s="80"/>
      <c r="G116" s="5"/>
      <c r="H116" s="73"/>
    </row>
    <row r="117" spans="2:8" ht="13.8">
      <c r="B117" s="91"/>
      <c r="D117" s="1"/>
      <c r="E117" s="1" t="str">
        <f>IF(ISERROR(VLOOKUP(D117,Categorias!A:B,2,0)),"",VLOOKUP(D117,Categorias!A:B,2,0))</f>
        <v/>
      </c>
      <c r="F117" s="80"/>
      <c r="G117" s="5"/>
      <c r="H117" s="73"/>
    </row>
    <row r="118" spans="2:8" ht="13.8">
      <c r="B118" s="91"/>
      <c r="D118" s="1"/>
      <c r="E118" s="1" t="str">
        <f>IF(ISERROR(VLOOKUP(D118,Categorias!A:B,2,0)),"",VLOOKUP(D118,Categorias!A:B,2,0))</f>
        <v/>
      </c>
      <c r="F118" s="80"/>
      <c r="G118" s="5"/>
      <c r="H118" s="73"/>
    </row>
    <row r="119" spans="2:8" ht="13.8">
      <c r="B119" s="91"/>
      <c r="D119" s="1"/>
      <c r="E119" s="1" t="str">
        <f>IF(ISERROR(VLOOKUP(D119,Categorias!A:B,2,0)),"",VLOOKUP(D119,Categorias!A:B,2,0))</f>
        <v/>
      </c>
      <c r="F119" s="80"/>
      <c r="G119" s="5"/>
      <c r="H119" s="73"/>
    </row>
    <row r="120" spans="2:8" ht="13.8">
      <c r="B120" s="91"/>
      <c r="D120" s="1"/>
      <c r="E120" s="1" t="str">
        <f>IF(ISERROR(VLOOKUP(D120,Categorias!A:B,2,0)),"",VLOOKUP(D120,Categorias!A:B,2,0))</f>
        <v/>
      </c>
      <c r="F120" s="80"/>
      <c r="G120" s="5"/>
      <c r="H120" s="73"/>
    </row>
    <row r="121" spans="2:8" ht="13.8">
      <c r="B121" s="91"/>
      <c r="D121" s="1"/>
      <c r="E121" s="1" t="str">
        <f>IF(ISERROR(VLOOKUP(D121,Categorias!A:B,2,0)),"",VLOOKUP(D121,Categorias!A:B,2,0))</f>
        <v/>
      </c>
      <c r="F121" s="80"/>
      <c r="G121" s="5"/>
      <c r="H121" s="73"/>
    </row>
    <row r="122" spans="2:8" ht="13.8">
      <c r="B122" s="91"/>
      <c r="D122" s="1"/>
      <c r="E122" s="1" t="str">
        <f>IF(ISERROR(VLOOKUP(D122,Categorias!A:B,2,0)),"",VLOOKUP(D122,Categorias!A:B,2,0))</f>
        <v/>
      </c>
      <c r="F122" s="80"/>
      <c r="G122" s="5"/>
      <c r="H122" s="73"/>
    </row>
    <row r="123" spans="2:8" ht="13.8">
      <c r="B123" s="91"/>
      <c r="D123" s="1"/>
      <c r="E123" s="1" t="str">
        <f>IF(ISERROR(VLOOKUP(D123,Categorias!A:B,2,0)),"",VLOOKUP(D123,Categorias!A:B,2,0))</f>
        <v/>
      </c>
      <c r="F123" s="80"/>
      <c r="G123" s="5"/>
      <c r="H123" s="73"/>
    </row>
    <row r="124" spans="2:8" ht="13.8">
      <c r="B124" s="91"/>
      <c r="D124" s="1"/>
      <c r="E124" s="1" t="str">
        <f>IF(ISERROR(VLOOKUP(D124,Categorias!A:B,2,0)),"",VLOOKUP(D124,Categorias!A:B,2,0))</f>
        <v/>
      </c>
      <c r="F124" s="80"/>
      <c r="G124" s="5"/>
      <c r="H124" s="73"/>
    </row>
    <row r="125" spans="2:8" ht="13.8">
      <c r="B125" s="91"/>
      <c r="D125" s="1"/>
      <c r="E125" s="1" t="str">
        <f>IF(ISERROR(VLOOKUP(D125,Categorias!A:B,2,0)),"",VLOOKUP(D125,Categorias!A:B,2,0))</f>
        <v/>
      </c>
      <c r="F125" s="80"/>
      <c r="G125" s="5"/>
      <c r="H125" s="73"/>
    </row>
    <row r="126" spans="2:8" ht="13.8">
      <c r="B126" s="91"/>
      <c r="D126" s="1"/>
      <c r="E126" s="1" t="str">
        <f>IF(ISERROR(VLOOKUP(D126,Categorias!A:B,2,0)),"",VLOOKUP(D126,Categorias!A:B,2,0))</f>
        <v/>
      </c>
      <c r="F126" s="80"/>
      <c r="G126" s="5"/>
      <c r="H126" s="73"/>
    </row>
    <row r="127" spans="2:8" ht="13.8">
      <c r="B127" s="91"/>
      <c r="D127" s="1"/>
      <c r="E127" s="1" t="str">
        <f>IF(ISERROR(VLOOKUP(D127,Categorias!A:B,2,0)),"",VLOOKUP(D127,Categorias!A:B,2,0))</f>
        <v/>
      </c>
      <c r="F127" s="80"/>
      <c r="G127" s="5"/>
      <c r="H127" s="73"/>
    </row>
    <row r="128" spans="2:8" ht="13.8">
      <c r="B128" s="91"/>
      <c r="D128" s="1"/>
      <c r="E128" s="1" t="str">
        <f>IF(ISERROR(VLOOKUP(D128,Categorias!A:B,2,0)),"",VLOOKUP(D128,Categorias!A:B,2,0))</f>
        <v/>
      </c>
      <c r="F128" s="80"/>
      <c r="G128" s="5"/>
      <c r="H128" s="73"/>
    </row>
    <row r="129" spans="4:8" ht="13.8">
      <c r="D129" s="1"/>
      <c r="E129" s="1" t="str">
        <f>IF(ISERROR(VLOOKUP(D129,Categorias!A:B,2,0)),"",VLOOKUP(D129,Categorias!A:B,2,0))</f>
        <v/>
      </c>
      <c r="F129" s="80"/>
      <c r="G129" s="5"/>
      <c r="H129" s="73"/>
    </row>
    <row r="130" spans="4:8" ht="13.8">
      <c r="D130" s="1"/>
      <c r="E130" s="1" t="str">
        <f>IF(ISERROR(VLOOKUP(D130,Categorias!A:B,2,0)),"",VLOOKUP(D130,Categorias!A:B,2,0))</f>
        <v/>
      </c>
      <c r="F130" s="80"/>
      <c r="G130" s="5"/>
      <c r="H130" s="73"/>
    </row>
    <row r="131" spans="4:8" ht="13.8">
      <c r="D131" s="1"/>
      <c r="E131" s="1" t="str">
        <f>IF(ISERROR(VLOOKUP(D131,Categorias!A:B,2,0)),"",VLOOKUP(D131,Categorias!A:B,2,0))</f>
        <v/>
      </c>
      <c r="F131" s="80"/>
      <c r="G131" s="5"/>
      <c r="H131" s="73"/>
    </row>
    <row r="132" spans="4:8" ht="13.8">
      <c r="D132" s="1"/>
      <c r="E132" s="1" t="str">
        <f>IF(ISERROR(VLOOKUP(D132,Categorias!A:B,2,0)),"",VLOOKUP(D132,Categorias!A:B,2,0))</f>
        <v/>
      </c>
      <c r="F132" s="80"/>
      <c r="G132" s="5"/>
      <c r="H132" s="73"/>
    </row>
    <row r="133" spans="4:8" ht="13.8">
      <c r="D133" s="1"/>
      <c r="E133" s="1" t="str">
        <f>IF(ISERROR(VLOOKUP(D133,Categorias!A:B,2,0)),"",VLOOKUP(D133,Categorias!A:B,2,0))</f>
        <v/>
      </c>
      <c r="F133" s="80"/>
      <c r="G133" s="5"/>
      <c r="H133" s="73"/>
    </row>
    <row r="134" spans="4:8" ht="13.8">
      <c r="D134" s="1"/>
      <c r="E134" s="1" t="str">
        <f>IF(ISERROR(VLOOKUP(D134,Categorias!A:B,2,0)),"",VLOOKUP(D134,Categorias!A:B,2,0))</f>
        <v/>
      </c>
      <c r="F134" s="80"/>
      <c r="G134" s="5"/>
      <c r="H134" s="73"/>
    </row>
    <row r="135" spans="4:8" ht="13.8">
      <c r="D135" s="1"/>
      <c r="E135" s="1" t="str">
        <f>IF(ISERROR(VLOOKUP(D135,Categorias!A:B,2,0)),"",VLOOKUP(D135,Categorias!A:B,2,0))</f>
        <v/>
      </c>
      <c r="F135" s="80"/>
      <c r="G135" s="5"/>
      <c r="H135" s="73"/>
    </row>
    <row r="136" spans="4:8" ht="13.8">
      <c r="D136" s="1"/>
      <c r="E136" s="1" t="str">
        <f>IF(ISERROR(VLOOKUP(D136,Categorias!A:B,2,0)),"",VLOOKUP(D136,Categorias!A:B,2,0))</f>
        <v/>
      </c>
      <c r="F136" s="80"/>
      <c r="G136" s="5"/>
      <c r="H136" s="73"/>
    </row>
    <row r="137" spans="4:8" ht="13.8">
      <c r="D137" s="1"/>
      <c r="E137" s="1" t="str">
        <f>IF(ISERROR(VLOOKUP(D137,Categorias!A:B,2,0)),"",VLOOKUP(D137,Categorias!A:B,2,0))</f>
        <v/>
      </c>
      <c r="F137" s="80"/>
      <c r="G137" s="5"/>
      <c r="H137" s="73"/>
    </row>
    <row r="138" spans="4:8" ht="13.8">
      <c r="D138" s="1"/>
      <c r="E138" s="1" t="str">
        <f>IF(ISERROR(VLOOKUP(D138,Categorias!A:B,2,0)),"",VLOOKUP(D138,Categorias!A:B,2,0))</f>
        <v/>
      </c>
      <c r="F138" s="80"/>
      <c r="G138" s="5"/>
      <c r="H138" s="73"/>
    </row>
    <row r="139" spans="4:8" ht="13.8">
      <c r="D139" s="1"/>
      <c r="E139" s="1" t="str">
        <f>IF(ISERROR(VLOOKUP(D139,Categorias!A:B,2,0)),"",VLOOKUP(D139,Categorias!A:B,2,0))</f>
        <v/>
      </c>
      <c r="F139" s="80"/>
      <c r="G139" s="5"/>
      <c r="H139" s="73"/>
    </row>
    <row r="140" spans="4:8" ht="13.8">
      <c r="D140" s="1"/>
      <c r="E140" s="1" t="str">
        <f>IF(ISERROR(VLOOKUP(D140,Categorias!A:B,2,0)),"",VLOOKUP(D140,Categorias!A:B,2,0))</f>
        <v/>
      </c>
      <c r="F140" s="80"/>
      <c r="G140" s="5"/>
      <c r="H140" s="73"/>
    </row>
    <row r="141" spans="4:8" ht="13.8">
      <c r="D141" s="1"/>
      <c r="E141" s="1" t="str">
        <f>IF(ISERROR(VLOOKUP(D141,Categorias!A:B,2,0)),"",VLOOKUP(D141,Categorias!A:B,2,0))</f>
        <v/>
      </c>
      <c r="F141" s="80"/>
      <c r="G141" s="5"/>
      <c r="H141" s="73"/>
    </row>
    <row r="142" spans="4:8" ht="13.8">
      <c r="D142" s="1"/>
      <c r="E142" s="1" t="str">
        <f>IF(ISERROR(VLOOKUP(D142,Categorias!A:B,2,0)),"",VLOOKUP(D142,Categorias!A:B,2,0))</f>
        <v/>
      </c>
      <c r="F142" s="80"/>
      <c r="G142" s="5"/>
      <c r="H142" s="73"/>
    </row>
    <row r="143" spans="4:8" ht="13.8">
      <c r="D143" s="1"/>
      <c r="E143" s="1" t="str">
        <f>IF(ISERROR(VLOOKUP(D143,Categorias!A:B,2,0)),"",VLOOKUP(D143,Categorias!A:B,2,0))</f>
        <v/>
      </c>
      <c r="F143" s="80"/>
      <c r="G143" s="5"/>
      <c r="H143" s="73"/>
    </row>
    <row r="144" spans="4:8" ht="13.8">
      <c r="D144" s="1"/>
      <c r="E144" s="1" t="str">
        <f>IF(ISERROR(VLOOKUP(D144,Categorias!A:B,2,0)),"",VLOOKUP(D144,Categorias!A:B,2,0))</f>
        <v/>
      </c>
      <c r="F144" s="80"/>
      <c r="G144" s="5"/>
      <c r="H144" s="73"/>
    </row>
    <row r="145" spans="4:8" ht="13.8">
      <c r="D145" s="1"/>
      <c r="E145" s="1" t="str">
        <f>IF(ISERROR(VLOOKUP(D145,Categorias!A:B,2,0)),"",VLOOKUP(D145,Categorias!A:B,2,0))</f>
        <v/>
      </c>
      <c r="F145" s="80"/>
      <c r="G145" s="5"/>
      <c r="H145" s="73"/>
    </row>
    <row r="146" spans="4:8" ht="13.8">
      <c r="D146" s="1"/>
      <c r="E146" s="1" t="str">
        <f>IF(ISERROR(VLOOKUP(D146,Categorias!A:B,2,0)),"",VLOOKUP(D146,Categorias!A:B,2,0))</f>
        <v/>
      </c>
      <c r="F146" s="80"/>
      <c r="G146" s="5"/>
      <c r="H146" s="73"/>
    </row>
    <row r="147" spans="4:8" ht="13.8">
      <c r="D147" s="1"/>
      <c r="E147" s="1" t="str">
        <f>IF(ISERROR(VLOOKUP(D147,Categorias!A:B,2,0)),"",VLOOKUP(D147,Categorias!A:B,2,0))</f>
        <v/>
      </c>
      <c r="F147" s="80"/>
      <c r="G147" s="5"/>
      <c r="H147" s="73"/>
    </row>
    <row r="148" spans="4:8" ht="13.8">
      <c r="D148" s="1"/>
      <c r="E148" s="1" t="str">
        <f>IF(ISERROR(VLOOKUP(D148,Categorias!A:B,2,0)),"",VLOOKUP(D148,Categorias!A:B,2,0))</f>
        <v/>
      </c>
      <c r="F148" s="80"/>
      <c r="G148" s="5"/>
      <c r="H148" s="73"/>
    </row>
    <row r="149" spans="4:8" ht="13.8">
      <c r="D149" s="1"/>
      <c r="E149" s="1" t="str">
        <f>IF(ISERROR(VLOOKUP(D149,Categorias!A:B,2,0)),"",VLOOKUP(D149,Categorias!A:B,2,0))</f>
        <v/>
      </c>
      <c r="F149" s="80"/>
      <c r="G149" s="5"/>
      <c r="H149" s="73"/>
    </row>
    <row r="150" spans="4:8" ht="13.8">
      <c r="D150" s="1"/>
      <c r="E150" s="1" t="str">
        <f>IF(ISERROR(VLOOKUP(D150,Categorias!A:B,2,0)),"",VLOOKUP(D150,Categorias!A:B,2,0))</f>
        <v/>
      </c>
      <c r="F150" s="80"/>
      <c r="G150" s="5"/>
      <c r="H150" s="73"/>
    </row>
    <row r="151" spans="4:8" ht="13.8">
      <c r="D151" s="1"/>
      <c r="E151" s="1" t="str">
        <f>IF(ISERROR(VLOOKUP(D151,Categorias!A:B,2,0)),"",VLOOKUP(D151,Categorias!A:B,2,0))</f>
        <v/>
      </c>
      <c r="F151" s="80"/>
      <c r="G151" s="5"/>
      <c r="H151" s="73"/>
    </row>
    <row r="152" spans="4:8" ht="13.8">
      <c r="D152" s="1"/>
      <c r="E152" s="1" t="str">
        <f>IF(ISERROR(VLOOKUP(D152,Categorias!A:B,2,0)),"",VLOOKUP(D152,Categorias!A:B,2,0))</f>
        <v/>
      </c>
      <c r="F152" s="80"/>
      <c r="G152" s="5"/>
      <c r="H152" s="73"/>
    </row>
    <row r="153" spans="4:8" ht="13.8">
      <c r="D153" s="1"/>
      <c r="E153" s="1" t="str">
        <f>IF(ISERROR(VLOOKUP(D153,Categorias!A:B,2,0)),"",VLOOKUP(D153,Categorias!A:B,2,0))</f>
        <v/>
      </c>
      <c r="F153" s="80"/>
      <c r="G153" s="5"/>
      <c r="H153" s="73"/>
    </row>
    <row r="154" spans="4:8" ht="13.8">
      <c r="D154" s="1"/>
      <c r="E154" s="1" t="str">
        <f>IF(ISERROR(VLOOKUP(D154,Categorias!A:B,2,0)),"",VLOOKUP(D154,Categorias!A:B,2,0))</f>
        <v/>
      </c>
      <c r="F154" s="80"/>
      <c r="G154" s="5"/>
      <c r="H154" s="73"/>
    </row>
    <row r="155" spans="4:8" ht="13.8">
      <c r="D155" s="1"/>
      <c r="E155" s="1" t="str">
        <f>IF(ISERROR(VLOOKUP(D155,Categorias!A:B,2,0)),"",VLOOKUP(D155,Categorias!A:B,2,0))</f>
        <v/>
      </c>
      <c r="F155" s="80"/>
      <c r="G155" s="5"/>
      <c r="H155" s="73"/>
    </row>
    <row r="156" spans="4:8" ht="13.8">
      <c r="D156" s="1"/>
      <c r="E156" s="1" t="str">
        <f>IF(ISERROR(VLOOKUP(D156,Categorias!A:B,2,0)),"",VLOOKUP(D156,Categorias!A:B,2,0))</f>
        <v/>
      </c>
      <c r="F156" s="80"/>
      <c r="G156" s="5"/>
      <c r="H156" s="73"/>
    </row>
    <row r="157" spans="4:8" ht="13.8">
      <c r="D157" s="1"/>
      <c r="E157" s="1" t="str">
        <f>IF(ISERROR(VLOOKUP(D157,Categorias!A:B,2,0)),"",VLOOKUP(D157,Categorias!A:B,2,0))</f>
        <v/>
      </c>
      <c r="F157" s="80"/>
      <c r="G157" s="5"/>
      <c r="H157" s="73"/>
    </row>
    <row r="158" spans="4:8" ht="13.8">
      <c r="D158" s="1"/>
      <c r="E158" s="1" t="str">
        <f>IF(ISERROR(VLOOKUP(D158,Categorias!A:B,2,0)),"",VLOOKUP(D158,Categorias!A:B,2,0))</f>
        <v/>
      </c>
      <c r="F158" s="80"/>
      <c r="G158" s="5"/>
      <c r="H158" s="73"/>
    </row>
    <row r="159" spans="4:8" ht="13.8">
      <c r="D159" s="1"/>
      <c r="E159" s="1" t="str">
        <f>IF(ISERROR(VLOOKUP(D159,Categorias!A:B,2,0)),"",VLOOKUP(D159,Categorias!A:B,2,0))</f>
        <v/>
      </c>
      <c r="F159" s="80"/>
      <c r="G159" s="5"/>
      <c r="H159" s="73"/>
    </row>
    <row r="160" spans="4:8" ht="13.8">
      <c r="D160" s="1"/>
      <c r="E160" s="1" t="str">
        <f>IF(ISERROR(VLOOKUP(D160,Categorias!A:B,2,0)),"",VLOOKUP(D160,Categorias!A:B,2,0))</f>
        <v/>
      </c>
      <c r="F160" s="80"/>
      <c r="G160" s="5"/>
      <c r="H160" s="73"/>
    </row>
    <row r="161" spans="4:8" ht="13.8">
      <c r="D161" s="1"/>
      <c r="E161" s="1" t="str">
        <f>IF(ISERROR(VLOOKUP(D161,Categorias!A:B,2,0)),"",VLOOKUP(D161,Categorias!A:B,2,0))</f>
        <v/>
      </c>
      <c r="F161" s="80"/>
      <c r="G161" s="5"/>
      <c r="H161" s="73"/>
    </row>
    <row r="162" spans="4:8" ht="13.8">
      <c r="D162" s="1"/>
      <c r="E162" s="1" t="str">
        <f>IF(ISERROR(VLOOKUP(D162,Categorias!A:B,2,0)),"",VLOOKUP(D162,Categorias!A:B,2,0))</f>
        <v/>
      </c>
      <c r="F162" s="80"/>
      <c r="G162" s="5"/>
      <c r="H162" s="73"/>
    </row>
    <row r="163" spans="4:8" ht="13.8">
      <c r="D163" s="1"/>
      <c r="E163" s="1" t="str">
        <f>IF(ISERROR(VLOOKUP(D163,Categorias!A:B,2,0)),"",VLOOKUP(D163,Categorias!A:B,2,0))</f>
        <v/>
      </c>
      <c r="F163" s="80"/>
      <c r="G163" s="5"/>
      <c r="H163" s="73"/>
    </row>
    <row r="164" spans="4:8" ht="13.8">
      <c r="D164" s="1"/>
      <c r="E164" s="1" t="str">
        <f>IF(ISERROR(VLOOKUP(D164,Categorias!A:B,2,0)),"",VLOOKUP(D164,Categorias!A:B,2,0))</f>
        <v/>
      </c>
      <c r="F164" s="80"/>
      <c r="G164" s="5"/>
      <c r="H164" s="73"/>
    </row>
    <row r="165" spans="4:8" ht="13.8">
      <c r="D165" s="1"/>
      <c r="E165" s="1" t="str">
        <f>IF(ISERROR(VLOOKUP(D165,Categorias!A:B,2,0)),"",VLOOKUP(D165,Categorias!A:B,2,0))</f>
        <v/>
      </c>
      <c r="F165" s="80"/>
      <c r="G165" s="5"/>
      <c r="H165" s="73"/>
    </row>
    <row r="166" spans="4:8" ht="13.8">
      <c r="D166" s="1"/>
      <c r="E166" s="1" t="str">
        <f>IF(ISERROR(VLOOKUP(D166,Categorias!A:B,2,0)),"",VLOOKUP(D166,Categorias!A:B,2,0))</f>
        <v/>
      </c>
      <c r="F166" s="80"/>
      <c r="G166" s="5"/>
      <c r="H166" s="73"/>
    </row>
    <row r="167" spans="4:8" ht="13.8">
      <c r="D167" s="1"/>
      <c r="E167" s="1" t="str">
        <f>IF(ISERROR(VLOOKUP(D167,Categorias!A:B,2,0)),"",VLOOKUP(D167,Categorias!A:B,2,0))</f>
        <v/>
      </c>
      <c r="F167" s="80"/>
      <c r="G167" s="5"/>
      <c r="H167" s="73"/>
    </row>
    <row r="168" spans="4:8" ht="13.8">
      <c r="D168" s="1"/>
      <c r="E168" s="1" t="str">
        <f>IF(ISERROR(VLOOKUP(D168,Categorias!A:B,2,0)),"",VLOOKUP(D168,Categorias!A:B,2,0))</f>
        <v/>
      </c>
      <c r="F168" s="80"/>
      <c r="G168" s="5"/>
      <c r="H168" s="73"/>
    </row>
    <row r="169" spans="4:8" ht="13.8">
      <c r="D169" s="1"/>
      <c r="E169" s="1" t="str">
        <f>IF(ISERROR(VLOOKUP(D169,Categorias!A:B,2,0)),"",VLOOKUP(D169,Categorias!A:B,2,0))</f>
        <v/>
      </c>
      <c r="F169" s="80"/>
      <c r="G169" s="5"/>
      <c r="H169" s="73"/>
    </row>
    <row r="170" spans="4:8" ht="13.8">
      <c r="D170" s="1"/>
      <c r="E170" s="1" t="str">
        <f>IF(ISERROR(VLOOKUP(D170,Categorias!A:B,2,0)),"",VLOOKUP(D170,Categorias!A:B,2,0))</f>
        <v/>
      </c>
      <c r="F170" s="80"/>
      <c r="G170" s="5"/>
      <c r="H170" s="73"/>
    </row>
    <row r="171" spans="4:8" ht="13.8">
      <c r="D171" s="1"/>
      <c r="E171" s="1" t="str">
        <f>IF(ISERROR(VLOOKUP(D171,Categorias!A:B,2,0)),"",VLOOKUP(D171,Categorias!A:B,2,0))</f>
        <v/>
      </c>
      <c r="F171" s="80"/>
      <c r="G171" s="5"/>
      <c r="H171" s="73"/>
    </row>
    <row r="172" spans="4:8" ht="13.8">
      <c r="D172" s="1"/>
      <c r="E172" s="1" t="str">
        <f>IF(ISERROR(VLOOKUP(D172,Categorias!A:B,2,0)),"",VLOOKUP(D172,Categorias!A:B,2,0))</f>
        <v/>
      </c>
      <c r="F172" s="80"/>
      <c r="G172" s="5"/>
      <c r="H172" s="73"/>
    </row>
    <row r="173" spans="4:8" ht="13.8">
      <c r="D173" s="1"/>
      <c r="E173" s="1" t="str">
        <f>IF(ISERROR(VLOOKUP(D173,Categorias!A:B,2,0)),"",VLOOKUP(D173,Categorias!A:B,2,0))</f>
        <v/>
      </c>
      <c r="F173" s="80"/>
      <c r="G173" s="5"/>
      <c r="H173" s="73"/>
    </row>
    <row r="174" spans="4:8" ht="13.8">
      <c r="D174" s="1"/>
      <c r="E174" s="1" t="str">
        <f>IF(ISERROR(VLOOKUP(D174,Categorias!A:B,2,0)),"",VLOOKUP(D174,Categorias!A:B,2,0))</f>
        <v/>
      </c>
      <c r="F174" s="80"/>
      <c r="G174" s="5"/>
      <c r="H174" s="73"/>
    </row>
    <row r="175" spans="4:8" ht="13.8">
      <c r="D175" s="1"/>
      <c r="E175" s="1" t="str">
        <f>IF(ISERROR(VLOOKUP(D175,Categorias!A:B,2,0)),"",VLOOKUP(D175,Categorias!A:B,2,0))</f>
        <v/>
      </c>
      <c r="F175" s="80"/>
      <c r="G175" s="5"/>
      <c r="H175" s="73"/>
    </row>
    <row r="176" spans="4:8" ht="13.8">
      <c r="D176" s="1"/>
      <c r="E176" s="1" t="str">
        <f>IF(ISERROR(VLOOKUP(D176,Categorias!A:B,2,0)),"",VLOOKUP(D176,Categorias!A:B,2,0))</f>
        <v/>
      </c>
      <c r="F176" s="80"/>
      <c r="G176" s="5"/>
      <c r="H176" s="73"/>
    </row>
    <row r="177" spans="4:8" ht="13.8">
      <c r="D177" s="1"/>
      <c r="E177" s="1" t="str">
        <f>IF(ISERROR(VLOOKUP(D177,Categorias!A:B,2,0)),"",VLOOKUP(D177,Categorias!A:B,2,0))</f>
        <v/>
      </c>
      <c r="F177" s="80"/>
      <c r="G177" s="5"/>
      <c r="H177" s="73"/>
    </row>
    <row r="178" spans="4:8" ht="13.8">
      <c r="D178" s="1"/>
      <c r="E178" s="1" t="str">
        <f>IF(ISERROR(VLOOKUP(D178,Categorias!A:B,2,0)),"",VLOOKUP(D178,Categorias!A:B,2,0))</f>
        <v/>
      </c>
      <c r="F178" s="80"/>
      <c r="G178" s="5"/>
      <c r="H178" s="73"/>
    </row>
    <row r="179" spans="4:8" ht="13.8">
      <c r="D179" s="1"/>
      <c r="E179" s="1" t="str">
        <f>IF(ISERROR(VLOOKUP(D179,Categorias!A:B,2,0)),"",VLOOKUP(D179,Categorias!A:B,2,0))</f>
        <v/>
      </c>
      <c r="F179" s="80"/>
      <c r="G179" s="5"/>
      <c r="H179" s="73"/>
    </row>
    <row r="180" spans="4:8" ht="13.8">
      <c r="D180" s="1"/>
      <c r="E180" s="1" t="str">
        <f>IF(ISERROR(VLOOKUP(D180,Categorias!A:B,2,0)),"",VLOOKUP(D180,Categorias!A:B,2,0))</f>
        <v/>
      </c>
      <c r="F180" s="80"/>
      <c r="G180" s="5"/>
      <c r="H180" s="73"/>
    </row>
    <row r="181" spans="4:8" ht="13.8">
      <c r="D181" s="1"/>
      <c r="E181" s="1" t="str">
        <f>IF(ISERROR(VLOOKUP(D181,Categorias!A:B,2,0)),"",VLOOKUP(D181,Categorias!A:B,2,0))</f>
        <v/>
      </c>
      <c r="F181" s="80"/>
      <c r="G181" s="5"/>
      <c r="H181" s="73"/>
    </row>
    <row r="182" spans="4:8" ht="13.8">
      <c r="D182" s="1"/>
      <c r="E182" s="1" t="str">
        <f>IF(ISERROR(VLOOKUP(D182,Categorias!A:B,2,0)),"",VLOOKUP(D182,Categorias!A:B,2,0))</f>
        <v/>
      </c>
      <c r="F182" s="80"/>
      <c r="G182" s="5"/>
      <c r="H182" s="73"/>
    </row>
    <row r="183" spans="4:8" ht="13.8">
      <c r="D183" s="1"/>
      <c r="E183" s="1" t="str">
        <f>IF(ISERROR(VLOOKUP(D183,Categorias!A:B,2,0)),"",VLOOKUP(D183,Categorias!A:B,2,0))</f>
        <v/>
      </c>
      <c r="F183" s="80"/>
      <c r="G183" s="5"/>
      <c r="H183" s="73"/>
    </row>
    <row r="184" spans="4:8" ht="13.8">
      <c r="D184" s="1"/>
      <c r="E184" s="1" t="str">
        <f>IF(ISERROR(VLOOKUP(D184,Categorias!A:B,2,0)),"",VLOOKUP(D184,Categorias!A:B,2,0))</f>
        <v/>
      </c>
      <c r="F184" s="80"/>
      <c r="G184" s="5"/>
      <c r="H184" s="73"/>
    </row>
    <row r="185" spans="4:8" ht="13.8">
      <c r="D185" s="1"/>
      <c r="E185" s="1" t="str">
        <f>IF(ISERROR(VLOOKUP(D185,Categorias!A:B,2,0)),"",VLOOKUP(D185,Categorias!A:B,2,0))</f>
        <v/>
      </c>
      <c r="F185" s="80"/>
      <c r="G185" s="5"/>
      <c r="H185" s="73"/>
    </row>
    <row r="186" spans="4:8" ht="13.8">
      <c r="D186" s="1"/>
      <c r="E186" s="1" t="str">
        <f>IF(ISERROR(VLOOKUP(D186,Categorias!A:B,2,0)),"",VLOOKUP(D186,Categorias!A:B,2,0))</f>
        <v/>
      </c>
      <c r="F186" s="80"/>
      <c r="G186" s="5"/>
      <c r="H186" s="73"/>
    </row>
    <row r="187" spans="4:8" ht="13.8">
      <c r="D187" s="1"/>
      <c r="E187" s="1" t="str">
        <f>IF(ISERROR(VLOOKUP(D187,Categorias!A:B,2,0)),"",VLOOKUP(D187,Categorias!A:B,2,0))</f>
        <v/>
      </c>
      <c r="F187" s="80"/>
      <c r="G187" s="5"/>
      <c r="H187" s="73"/>
    </row>
    <row r="188" spans="4:8" ht="13.8">
      <c r="D188" s="1"/>
      <c r="E188" s="1" t="str">
        <f>IF(ISERROR(VLOOKUP(D188,Categorias!A:B,2,0)),"",VLOOKUP(D188,Categorias!A:B,2,0))</f>
        <v/>
      </c>
      <c r="F188" s="80"/>
      <c r="G188" s="5"/>
      <c r="H188" s="73"/>
    </row>
    <row r="189" spans="4:8" ht="13.8">
      <c r="D189" s="1"/>
      <c r="E189" s="1" t="str">
        <f>IF(ISERROR(VLOOKUP(D189,Categorias!A:B,2,0)),"",VLOOKUP(D189,Categorias!A:B,2,0))</f>
        <v/>
      </c>
      <c r="F189" s="80"/>
      <c r="G189" s="5"/>
      <c r="H189" s="73"/>
    </row>
    <row r="190" spans="4:8" ht="13.8">
      <c r="D190" s="1"/>
      <c r="E190" s="1" t="str">
        <f>IF(ISERROR(VLOOKUP(D190,Categorias!A:B,2,0)),"",VLOOKUP(D190,Categorias!A:B,2,0))</f>
        <v/>
      </c>
      <c r="F190" s="80"/>
      <c r="G190" s="5"/>
      <c r="H190" s="73"/>
    </row>
    <row r="191" spans="4:8" ht="13.8">
      <c r="D191" s="1"/>
      <c r="E191" s="1" t="str">
        <f>IF(ISERROR(VLOOKUP(D191,Categorias!A:B,2,0)),"",VLOOKUP(D191,Categorias!A:B,2,0))</f>
        <v/>
      </c>
      <c r="F191" s="80"/>
      <c r="G191" s="5"/>
      <c r="H191" s="73"/>
    </row>
    <row r="192" spans="4:8" ht="13.8">
      <c r="D192" s="1"/>
      <c r="E192" s="1" t="str">
        <f>IF(ISERROR(VLOOKUP(D192,Categorias!A:B,2,0)),"",VLOOKUP(D192,Categorias!A:B,2,0))</f>
        <v/>
      </c>
      <c r="F192" s="80"/>
      <c r="G192" s="5"/>
      <c r="H192" s="73"/>
    </row>
    <row r="193" spans="4:8" ht="13.8">
      <c r="D193" s="1"/>
      <c r="E193" s="1" t="str">
        <f>IF(ISERROR(VLOOKUP(D193,Categorias!A:B,2,0)),"",VLOOKUP(D193,Categorias!A:B,2,0))</f>
        <v/>
      </c>
      <c r="F193" s="80"/>
      <c r="G193" s="5"/>
      <c r="H193" s="73"/>
    </row>
    <row r="194" spans="4:8" ht="13.8">
      <c r="D194" s="1"/>
      <c r="E194" s="1" t="str">
        <f>IF(ISERROR(VLOOKUP(D194,Categorias!A:B,2,0)),"",VLOOKUP(D194,Categorias!A:B,2,0))</f>
        <v/>
      </c>
      <c r="F194" s="80"/>
      <c r="G194" s="5"/>
      <c r="H194" s="73"/>
    </row>
    <row r="195" spans="4:8" ht="13.8">
      <c r="D195" s="1"/>
      <c r="E195" s="1" t="str">
        <f>IF(ISERROR(VLOOKUP(D195,Categorias!A:B,2,0)),"",VLOOKUP(D195,Categorias!A:B,2,0))</f>
        <v/>
      </c>
      <c r="F195" s="80"/>
      <c r="G195" s="5"/>
      <c r="H195" s="73"/>
    </row>
    <row r="196" spans="4:8" ht="13.8">
      <c r="D196" s="1"/>
      <c r="E196" s="1" t="str">
        <f>IF(ISERROR(VLOOKUP(D196,Categorias!A:B,2,0)),"",VLOOKUP(D196,Categorias!A:B,2,0))</f>
        <v/>
      </c>
      <c r="F196" s="80"/>
      <c r="G196" s="5"/>
      <c r="H196" s="73"/>
    </row>
    <row r="197" spans="4:8" ht="13.8">
      <c r="D197" s="1"/>
      <c r="E197" s="1" t="str">
        <f>IF(ISERROR(VLOOKUP(D197,Categorias!A:B,2,0)),"",VLOOKUP(D197,Categorias!A:B,2,0))</f>
        <v/>
      </c>
      <c r="F197" s="80"/>
      <c r="G197" s="5"/>
      <c r="H197" s="73"/>
    </row>
    <row r="198" spans="4:8" ht="13.8">
      <c r="D198" s="1"/>
      <c r="E198" s="1" t="str">
        <f>IF(ISERROR(VLOOKUP(D198,Categorias!A:B,2,0)),"",VLOOKUP(D198,Categorias!A:B,2,0))</f>
        <v/>
      </c>
      <c r="F198" s="80"/>
      <c r="G198" s="5"/>
      <c r="H198" s="73"/>
    </row>
    <row r="199" spans="4:8" ht="13.8">
      <c r="D199" s="1"/>
      <c r="E199" s="1" t="str">
        <f>IF(ISERROR(VLOOKUP(D199,Categorias!A:B,2,0)),"",VLOOKUP(D199,Categorias!A:B,2,0))</f>
        <v/>
      </c>
      <c r="F199" s="80"/>
      <c r="G199" s="5"/>
      <c r="H199" s="73"/>
    </row>
    <row r="200" spans="4:8" ht="13.8">
      <c r="D200" s="1"/>
      <c r="E200" s="1" t="str">
        <f>IF(ISERROR(VLOOKUP(D200,Categorias!A:B,2,0)),"",VLOOKUP(D200,Categorias!A:B,2,0))</f>
        <v/>
      </c>
      <c r="F200" s="80"/>
      <c r="G200" s="5"/>
      <c r="H200" s="73"/>
    </row>
    <row r="201" spans="4:8" ht="13.8">
      <c r="D201" s="1"/>
      <c r="E201" s="1" t="str">
        <f>IF(ISERROR(VLOOKUP(D201,Categorias!A:B,2,0)),"",VLOOKUP(D201,Categorias!A:B,2,0))</f>
        <v/>
      </c>
      <c r="F201" s="80"/>
      <c r="G201" s="5"/>
      <c r="H201" s="73"/>
    </row>
    <row r="202" spans="4:8" ht="13.8">
      <c r="D202" s="1"/>
      <c r="E202" s="1" t="str">
        <f>IF(ISERROR(VLOOKUP(D202,Categorias!A:B,2,0)),"",VLOOKUP(D202,Categorias!A:B,2,0))</f>
        <v/>
      </c>
      <c r="F202" s="80"/>
      <c r="G202" s="5"/>
      <c r="H202" s="73"/>
    </row>
    <row r="203" spans="4:8" ht="13.8">
      <c r="D203" s="1"/>
      <c r="E203" s="1" t="str">
        <f>IF(ISERROR(VLOOKUP(D203,Categorias!A:B,2,0)),"",VLOOKUP(D203,Categorias!A:B,2,0))</f>
        <v/>
      </c>
      <c r="F203" s="80"/>
      <c r="G203" s="5"/>
      <c r="H203" s="73"/>
    </row>
    <row r="204" spans="4:8" ht="13.8">
      <c r="D204" s="1"/>
      <c r="E204" s="1" t="str">
        <f>IF(ISERROR(VLOOKUP(D204,Categorias!A:B,2,0)),"",VLOOKUP(D204,Categorias!A:B,2,0))</f>
        <v/>
      </c>
      <c r="F204" s="80"/>
      <c r="G204" s="5"/>
      <c r="H204" s="73"/>
    </row>
    <row r="205" spans="4:8" ht="13.8">
      <c r="D205" s="1"/>
      <c r="E205" s="1" t="str">
        <f>IF(ISERROR(VLOOKUP(D205,Categorias!A:B,2,0)),"",VLOOKUP(D205,Categorias!A:B,2,0))</f>
        <v/>
      </c>
      <c r="F205" s="80"/>
      <c r="G205" s="5"/>
      <c r="H205" s="73"/>
    </row>
    <row r="206" spans="4:8" ht="13.8">
      <c r="D206" s="1"/>
      <c r="E206" s="1" t="str">
        <f>IF(ISERROR(VLOOKUP(D206,Categorias!A:B,2,0)),"",VLOOKUP(D206,Categorias!A:B,2,0))</f>
        <v/>
      </c>
      <c r="F206" s="80"/>
      <c r="G206" s="5"/>
      <c r="H206" s="73"/>
    </row>
    <row r="207" spans="4:8" ht="13.8">
      <c r="D207" s="1"/>
      <c r="E207" s="1" t="str">
        <f>IF(ISERROR(VLOOKUP(D207,Categorias!A:B,2,0)),"",VLOOKUP(D207,Categorias!A:B,2,0))</f>
        <v/>
      </c>
      <c r="F207" s="80"/>
      <c r="G207" s="5"/>
      <c r="H207" s="73"/>
    </row>
    <row r="208" spans="4:8" ht="13.8">
      <c r="D208" s="1"/>
      <c r="E208" s="1" t="str">
        <f>IF(ISERROR(VLOOKUP(D208,Categorias!A:B,2,0)),"",VLOOKUP(D208,Categorias!A:B,2,0))</f>
        <v/>
      </c>
      <c r="F208" s="80"/>
      <c r="G208" s="5"/>
      <c r="H208" s="73"/>
    </row>
    <row r="209" spans="4:8" ht="13.8">
      <c r="D209" s="1"/>
      <c r="E209" s="1" t="str">
        <f>IF(ISERROR(VLOOKUP(D209,Categorias!A:B,2,0)),"",VLOOKUP(D209,Categorias!A:B,2,0))</f>
        <v/>
      </c>
      <c r="F209" s="80"/>
      <c r="G209" s="5"/>
      <c r="H209" s="73"/>
    </row>
    <row r="210" spans="4:8" ht="13.8">
      <c r="D210" s="1"/>
      <c r="E210" s="1" t="str">
        <f>IF(ISERROR(VLOOKUP(D210,Categorias!A:B,2,0)),"",VLOOKUP(D210,Categorias!A:B,2,0))</f>
        <v/>
      </c>
      <c r="F210" s="80"/>
      <c r="G210" s="5"/>
      <c r="H210" s="73"/>
    </row>
    <row r="211" spans="4:8" ht="13.8">
      <c r="D211" s="1"/>
      <c r="E211" s="1" t="str">
        <f>IF(ISERROR(VLOOKUP(D211,Categorias!A:B,2,0)),"",VLOOKUP(D211,Categorias!A:B,2,0))</f>
        <v/>
      </c>
      <c r="F211" s="80"/>
      <c r="G211" s="5"/>
      <c r="H211" s="73"/>
    </row>
    <row r="212" spans="4:8" ht="13.8">
      <c r="D212" s="1"/>
      <c r="E212" s="1" t="str">
        <f>IF(ISERROR(VLOOKUP(D212,Categorias!A:B,2,0)),"",VLOOKUP(D212,Categorias!A:B,2,0))</f>
        <v/>
      </c>
      <c r="F212" s="80"/>
      <c r="G212" s="5"/>
      <c r="H212" s="73"/>
    </row>
    <row r="213" spans="4:8" ht="13.8">
      <c r="D213" s="1"/>
      <c r="E213" s="1" t="str">
        <f>IF(ISERROR(VLOOKUP(D213,Categorias!A:B,2,0)),"",VLOOKUP(D213,Categorias!A:B,2,0))</f>
        <v/>
      </c>
      <c r="F213" s="80"/>
      <c r="G213" s="5"/>
      <c r="H213" s="73"/>
    </row>
    <row r="214" spans="4:8" ht="13.8">
      <c r="D214" s="1"/>
      <c r="E214" s="1" t="str">
        <f>IF(ISERROR(VLOOKUP(D214,Categorias!A:B,2,0)),"",VLOOKUP(D214,Categorias!A:B,2,0))</f>
        <v/>
      </c>
      <c r="F214" s="80"/>
      <c r="G214" s="5"/>
      <c r="H214" s="73"/>
    </row>
    <row r="215" spans="4:8" ht="13.8">
      <c r="D215" s="1"/>
      <c r="E215" s="1" t="str">
        <f>IF(ISERROR(VLOOKUP(D215,Categorias!A:B,2,0)),"",VLOOKUP(D215,Categorias!A:B,2,0))</f>
        <v/>
      </c>
      <c r="F215" s="80"/>
      <c r="G215" s="5"/>
      <c r="H215" s="73"/>
    </row>
    <row r="216" spans="4:8" ht="13.8">
      <c r="D216" s="1"/>
      <c r="E216" s="1" t="str">
        <f>IF(ISERROR(VLOOKUP(D216,Categorias!A:B,2,0)),"",VLOOKUP(D216,Categorias!A:B,2,0))</f>
        <v/>
      </c>
      <c r="F216" s="80"/>
      <c r="G216" s="5"/>
      <c r="H216" s="73"/>
    </row>
    <row r="217" spans="4:8" ht="13.8">
      <c r="D217" s="1"/>
      <c r="E217" s="1" t="str">
        <f>IF(ISERROR(VLOOKUP(D217,Categorias!A:B,2,0)),"",VLOOKUP(D217,Categorias!A:B,2,0))</f>
        <v/>
      </c>
      <c r="F217" s="80"/>
      <c r="G217" s="5"/>
      <c r="H217" s="73"/>
    </row>
    <row r="218" spans="4:8" ht="13.8">
      <c r="D218" s="1"/>
      <c r="E218" s="1" t="str">
        <f>IF(ISERROR(VLOOKUP(D218,Categorias!A:B,2,0)),"",VLOOKUP(D218,Categorias!A:B,2,0))</f>
        <v/>
      </c>
      <c r="F218" s="80"/>
      <c r="G218" s="5"/>
      <c r="H218" s="73"/>
    </row>
    <row r="219" spans="4:8" ht="13.8">
      <c r="D219" s="1"/>
      <c r="E219" s="1" t="str">
        <f>IF(ISERROR(VLOOKUP(D219,Categorias!A:B,2,0)),"",VLOOKUP(D219,Categorias!A:B,2,0))</f>
        <v/>
      </c>
      <c r="F219" s="80"/>
      <c r="G219" s="5"/>
      <c r="H219" s="73"/>
    </row>
    <row r="220" spans="4:8" ht="13.8">
      <c r="D220" s="1"/>
      <c r="E220" s="1" t="str">
        <f>IF(ISERROR(VLOOKUP(D220,Categorias!A:B,2,0)),"",VLOOKUP(D220,Categorias!A:B,2,0))</f>
        <v/>
      </c>
      <c r="F220" s="80"/>
      <c r="G220" s="5"/>
      <c r="H220" s="73"/>
    </row>
    <row r="221" spans="4:8" ht="13.8">
      <c r="D221" s="1"/>
      <c r="E221" s="1" t="str">
        <f>IF(ISERROR(VLOOKUP(D221,Categorias!A:B,2,0)),"",VLOOKUP(D221,Categorias!A:B,2,0))</f>
        <v/>
      </c>
      <c r="F221" s="80"/>
      <c r="G221" s="5"/>
      <c r="H221" s="73"/>
    </row>
    <row r="222" spans="4:8" ht="13.8">
      <c r="D222" s="1"/>
      <c r="E222" s="1" t="str">
        <f>IF(ISERROR(VLOOKUP(D222,Categorias!A:B,2,0)),"",VLOOKUP(D222,Categorias!A:B,2,0))</f>
        <v/>
      </c>
      <c r="F222" s="80"/>
      <c r="G222" s="5"/>
      <c r="H222" s="73"/>
    </row>
    <row r="223" spans="4:8" ht="13.8">
      <c r="D223" s="1"/>
      <c r="E223" s="1" t="str">
        <f>IF(ISERROR(VLOOKUP(D223,Categorias!A:B,2,0)),"",VLOOKUP(D223,Categorias!A:B,2,0))</f>
        <v/>
      </c>
      <c r="F223" s="80"/>
      <c r="G223" s="5"/>
      <c r="H223" s="73"/>
    </row>
    <row r="224" spans="4:8" ht="13.8">
      <c r="D224" s="1"/>
      <c r="E224" s="1" t="str">
        <f>IF(ISERROR(VLOOKUP(D224,Categorias!A:B,2,0)),"",VLOOKUP(D224,Categorias!A:B,2,0))</f>
        <v/>
      </c>
      <c r="F224" s="80"/>
      <c r="G224" s="5"/>
      <c r="H224" s="73"/>
    </row>
    <row r="225" spans="4:8" ht="13.8">
      <c r="D225" s="1"/>
      <c r="E225" s="1" t="str">
        <f>IF(ISERROR(VLOOKUP(D225,Categorias!A:B,2,0)),"",VLOOKUP(D225,Categorias!A:B,2,0))</f>
        <v/>
      </c>
      <c r="F225" s="80"/>
      <c r="G225" s="5"/>
      <c r="H225" s="73"/>
    </row>
    <row r="226" spans="4:8" ht="13.8">
      <c r="D226" s="1"/>
      <c r="E226" s="1" t="str">
        <f>IF(ISERROR(VLOOKUP(D226,Categorias!A:B,2,0)),"",VLOOKUP(D226,Categorias!A:B,2,0))</f>
        <v/>
      </c>
      <c r="F226" s="80"/>
      <c r="G226" s="5"/>
      <c r="H226" s="73"/>
    </row>
    <row r="227" spans="4:8" ht="13.8">
      <c r="D227" s="1"/>
      <c r="E227" s="1" t="str">
        <f>IF(ISERROR(VLOOKUP(D227,Categorias!A:B,2,0)),"",VLOOKUP(D227,Categorias!A:B,2,0))</f>
        <v/>
      </c>
      <c r="F227" s="80"/>
      <c r="G227" s="5"/>
      <c r="H227" s="73"/>
    </row>
    <row r="228" spans="4:8" ht="13.8">
      <c r="D228" s="1"/>
      <c r="E228" s="1" t="str">
        <f>IF(ISERROR(VLOOKUP(D228,Categorias!A:B,2,0)),"",VLOOKUP(D228,Categorias!A:B,2,0))</f>
        <v/>
      </c>
      <c r="F228" s="80"/>
      <c r="G228" s="5"/>
      <c r="H228" s="73"/>
    </row>
    <row r="229" spans="4:8" ht="13.8">
      <c r="D229" s="1"/>
      <c r="E229" s="1" t="str">
        <f>IF(ISERROR(VLOOKUP(D229,Categorias!A:B,2,0)),"",VLOOKUP(D229,Categorias!A:B,2,0))</f>
        <v/>
      </c>
      <c r="F229" s="80"/>
      <c r="G229" s="5"/>
      <c r="H229" s="73"/>
    </row>
    <row r="230" spans="4:8" ht="13.8">
      <c r="D230" s="1"/>
      <c r="E230" s="1" t="str">
        <f>IF(ISERROR(VLOOKUP(D230,Categorias!A:B,2,0)),"",VLOOKUP(D230,Categorias!A:B,2,0))</f>
        <v/>
      </c>
      <c r="F230" s="80"/>
      <c r="G230" s="5"/>
      <c r="H230" s="73"/>
    </row>
    <row r="231" spans="4:8" ht="13.8">
      <c r="D231" s="1"/>
      <c r="E231" s="1" t="str">
        <f>IF(ISERROR(VLOOKUP(D231,Categorias!A:B,2,0)),"",VLOOKUP(D231,Categorias!A:B,2,0))</f>
        <v/>
      </c>
      <c r="F231" s="80"/>
      <c r="G231" s="5"/>
      <c r="H231" s="73"/>
    </row>
    <row r="232" spans="4:8" ht="13.8">
      <c r="D232" s="1"/>
      <c r="E232" s="1" t="str">
        <f>IF(ISERROR(VLOOKUP(D232,Categorias!A:B,2,0)),"",VLOOKUP(D232,Categorias!A:B,2,0))</f>
        <v/>
      </c>
      <c r="F232" s="80"/>
      <c r="G232" s="5"/>
      <c r="H232" s="73"/>
    </row>
    <row r="233" spans="4:8" ht="13.8">
      <c r="D233" s="1"/>
      <c r="E233" s="1" t="str">
        <f>IF(ISERROR(VLOOKUP(D233,Categorias!A:B,2,0)),"",VLOOKUP(D233,Categorias!A:B,2,0))</f>
        <v/>
      </c>
      <c r="F233" s="80"/>
      <c r="G233" s="5"/>
      <c r="H233" s="73"/>
    </row>
    <row r="234" spans="4:8" ht="13.8">
      <c r="D234" s="1"/>
      <c r="E234" s="1" t="str">
        <f>IF(ISERROR(VLOOKUP(D234,Categorias!A:B,2,0)),"",VLOOKUP(D234,Categorias!A:B,2,0))</f>
        <v/>
      </c>
      <c r="F234" s="80"/>
      <c r="G234" s="5"/>
      <c r="H234" s="73"/>
    </row>
    <row r="235" spans="4:8" ht="13.8">
      <c r="D235" s="1"/>
      <c r="E235" s="1" t="str">
        <f>IF(ISERROR(VLOOKUP(D235,Categorias!A:B,2,0)),"",VLOOKUP(D235,Categorias!A:B,2,0))</f>
        <v/>
      </c>
      <c r="F235" s="80"/>
      <c r="G235" s="5"/>
      <c r="H235" s="73"/>
    </row>
    <row r="236" spans="4:8" ht="13.8">
      <c r="D236" s="1"/>
      <c r="E236" s="1" t="str">
        <f>IF(ISERROR(VLOOKUP(D236,Categorias!A:B,2,0)),"",VLOOKUP(D236,Categorias!A:B,2,0))</f>
        <v/>
      </c>
      <c r="F236" s="80"/>
      <c r="G236" s="5"/>
      <c r="H236" s="73"/>
    </row>
    <row r="237" spans="4:8" ht="13.8">
      <c r="D237" s="1"/>
      <c r="E237" s="1" t="str">
        <f>IF(ISERROR(VLOOKUP(D237,Categorias!A:B,2,0)),"",VLOOKUP(D237,Categorias!A:B,2,0))</f>
        <v/>
      </c>
      <c r="F237" s="80"/>
      <c r="G237" s="5"/>
      <c r="H237" s="73"/>
    </row>
    <row r="238" spans="4:8" ht="13.8">
      <c r="D238" s="1"/>
      <c r="E238" s="1" t="str">
        <f>IF(ISERROR(VLOOKUP(D238,Categorias!A:B,2,0)),"",VLOOKUP(D238,Categorias!A:B,2,0))</f>
        <v/>
      </c>
      <c r="F238" s="80"/>
      <c r="G238" s="5"/>
      <c r="H238" s="73"/>
    </row>
    <row r="239" spans="4:8" ht="13.8">
      <c r="D239" s="1"/>
      <c r="E239" s="1" t="str">
        <f>IF(ISERROR(VLOOKUP(D239,Categorias!A:B,2,0)),"",VLOOKUP(D239,Categorias!A:B,2,0))</f>
        <v/>
      </c>
      <c r="F239" s="80"/>
      <c r="G239" s="5"/>
      <c r="H239" s="73"/>
    </row>
    <row r="240" spans="4:8" ht="13.8">
      <c r="D240" s="1"/>
      <c r="E240" s="1" t="str">
        <f>IF(ISERROR(VLOOKUP(D240,Categorias!A:B,2,0)),"",VLOOKUP(D240,Categorias!A:B,2,0))</f>
        <v/>
      </c>
      <c r="F240" s="80"/>
      <c r="G240" s="5"/>
      <c r="H240" s="73"/>
    </row>
    <row r="241" spans="4:8" ht="13.8">
      <c r="D241" s="1"/>
      <c r="E241" s="1" t="str">
        <f>IF(ISERROR(VLOOKUP(D241,Categorias!A:B,2,0)),"",VLOOKUP(D241,Categorias!A:B,2,0))</f>
        <v/>
      </c>
      <c r="F241" s="80"/>
      <c r="G241" s="5"/>
      <c r="H241" s="73"/>
    </row>
    <row r="242" spans="4:8" ht="13.8">
      <c r="D242" s="1"/>
      <c r="E242" s="1" t="str">
        <f>IF(ISERROR(VLOOKUP(D242,Categorias!A:B,2,0)),"",VLOOKUP(D242,Categorias!A:B,2,0))</f>
        <v/>
      </c>
      <c r="F242" s="80"/>
      <c r="G242" s="5"/>
      <c r="H242" s="73"/>
    </row>
    <row r="243" spans="4:8" ht="13.8">
      <c r="D243" s="1"/>
      <c r="E243" s="1" t="str">
        <f>IF(ISERROR(VLOOKUP(D243,Categorias!A:B,2,0)),"",VLOOKUP(D243,Categorias!A:B,2,0))</f>
        <v/>
      </c>
      <c r="F243" s="80"/>
      <c r="G243" s="5"/>
      <c r="H243" s="73"/>
    </row>
    <row r="244" spans="4:8" ht="13.8">
      <c r="D244" s="1"/>
      <c r="E244" s="1" t="str">
        <f>IF(ISERROR(VLOOKUP(D244,Categorias!A:B,2,0)),"",VLOOKUP(D244,Categorias!A:B,2,0))</f>
        <v/>
      </c>
      <c r="F244" s="80"/>
      <c r="G244" s="5"/>
      <c r="H244" s="73"/>
    </row>
    <row r="245" spans="4:8" ht="13.8">
      <c r="D245" s="1"/>
      <c r="E245" s="1" t="str">
        <f>IF(ISERROR(VLOOKUP(D245,Categorias!A:B,2,0)),"",VLOOKUP(D245,Categorias!A:B,2,0))</f>
        <v/>
      </c>
      <c r="F245" s="80"/>
      <c r="G245" s="5"/>
      <c r="H245" s="73"/>
    </row>
    <row r="246" spans="4:8" ht="13.8">
      <c r="D246" s="1"/>
      <c r="E246" s="1" t="str">
        <f>IF(ISERROR(VLOOKUP(D246,Categorias!A:B,2,0)),"",VLOOKUP(D246,Categorias!A:B,2,0))</f>
        <v/>
      </c>
      <c r="F246" s="80"/>
      <c r="G246" s="5"/>
      <c r="H246" s="73"/>
    </row>
    <row r="247" spans="4:8" ht="13.8">
      <c r="D247" s="1"/>
      <c r="E247" s="1" t="str">
        <f>IF(ISERROR(VLOOKUP(D247,Categorias!A:B,2,0)),"",VLOOKUP(D247,Categorias!A:B,2,0))</f>
        <v/>
      </c>
      <c r="F247" s="80"/>
      <c r="G247" s="5"/>
      <c r="H247" s="73"/>
    </row>
    <row r="248" spans="4:8" ht="13.8">
      <c r="D248" s="1"/>
      <c r="E248" s="1" t="str">
        <f>IF(ISERROR(VLOOKUP(D248,Categorias!A:B,2,0)),"",VLOOKUP(D248,Categorias!A:B,2,0))</f>
        <v/>
      </c>
      <c r="F248" s="80"/>
      <c r="G248" s="5"/>
      <c r="H248" s="73"/>
    </row>
    <row r="249" spans="4:8" ht="13.8">
      <c r="D249" s="1"/>
      <c r="E249" s="1" t="str">
        <f>IF(ISERROR(VLOOKUP(D249,Categorias!A:B,2,0)),"",VLOOKUP(D249,Categorias!A:B,2,0))</f>
        <v/>
      </c>
      <c r="F249" s="80"/>
      <c r="G249" s="5"/>
      <c r="H249" s="73"/>
    </row>
    <row r="250" spans="4:8" ht="13.8">
      <c r="D250" s="1"/>
      <c r="E250" s="1" t="str">
        <f>IF(ISERROR(VLOOKUP(D250,Categorias!A:B,2,0)),"",VLOOKUP(D250,Categorias!A:B,2,0))</f>
        <v/>
      </c>
      <c r="F250" s="80"/>
      <c r="G250" s="5"/>
      <c r="H250" s="73"/>
    </row>
    <row r="251" spans="4:8" ht="13.8">
      <c r="D251" s="1"/>
      <c r="E251" s="1" t="str">
        <f>IF(ISERROR(VLOOKUP(D251,Categorias!A:B,2,0)),"",VLOOKUP(D251,Categorias!A:B,2,0))</f>
        <v/>
      </c>
      <c r="F251" s="80"/>
      <c r="G251" s="5"/>
      <c r="H251" s="73"/>
    </row>
    <row r="252" spans="4:8" ht="13.8">
      <c r="D252" s="1"/>
      <c r="E252" s="1" t="str">
        <f>IF(ISERROR(VLOOKUP(D252,Categorias!A:B,2,0)),"",VLOOKUP(D252,Categorias!A:B,2,0))</f>
        <v/>
      </c>
      <c r="F252" s="80"/>
      <c r="G252" s="5"/>
      <c r="H252" s="73"/>
    </row>
    <row r="253" spans="4:8" ht="13.8">
      <c r="D253" s="1"/>
      <c r="E253" s="1" t="str">
        <f>IF(ISERROR(VLOOKUP(D253,Categorias!A:B,2,0)),"",VLOOKUP(D253,Categorias!A:B,2,0))</f>
        <v/>
      </c>
      <c r="F253" s="80"/>
      <c r="G253" s="5"/>
      <c r="H253" s="73"/>
    </row>
    <row r="254" spans="4:8" ht="13.8">
      <c r="D254" s="1"/>
      <c r="E254" s="1" t="str">
        <f>IF(ISERROR(VLOOKUP(D254,Categorias!A:B,2,0)),"",VLOOKUP(D254,Categorias!A:B,2,0))</f>
        <v/>
      </c>
      <c r="F254" s="80"/>
      <c r="G254" s="5"/>
      <c r="H254" s="73"/>
    </row>
    <row r="255" spans="4:8" ht="13.8">
      <c r="F255" s="81"/>
      <c r="G255" s="6"/>
      <c r="H255" s="60"/>
    </row>
    <row r="256" spans="4:8" ht="13.8">
      <c r="F256" s="81"/>
      <c r="G256" s="6"/>
      <c r="H256" s="60"/>
    </row>
    <row r="257" spans="6:8" ht="13.8">
      <c r="F257" s="81"/>
      <c r="G257" s="6"/>
      <c r="H257" s="60"/>
    </row>
    <row r="258" spans="6:8" ht="13.8">
      <c r="F258" s="81"/>
      <c r="G258" s="6"/>
      <c r="H258" s="60"/>
    </row>
    <row r="259" spans="6:8" ht="13.8">
      <c r="F259" s="81"/>
      <c r="G259" s="6"/>
      <c r="H259" s="60"/>
    </row>
    <row r="260" spans="6:8" ht="13.8">
      <c r="F260" s="81"/>
      <c r="G260" s="6"/>
      <c r="H260" s="60"/>
    </row>
    <row r="261" spans="6:8" ht="13.8">
      <c r="F261" s="81"/>
      <c r="G261" s="6"/>
      <c r="H261" s="60"/>
    </row>
    <row r="262" spans="6:8" ht="13.8">
      <c r="F262" s="81"/>
      <c r="G262" s="6"/>
      <c r="H262" s="60"/>
    </row>
    <row r="263" spans="6:8" ht="13.8">
      <c r="F263" s="81"/>
      <c r="G263" s="6"/>
      <c r="H263" s="60"/>
    </row>
    <row r="264" spans="6:8" ht="13.8">
      <c r="F264" s="81"/>
      <c r="G264" s="6"/>
      <c r="H264" s="60"/>
    </row>
    <row r="265" spans="6:8" ht="13.8">
      <c r="F265" s="81"/>
      <c r="G265" s="6"/>
      <c r="H265" s="60"/>
    </row>
    <row r="266" spans="6:8" ht="13.8">
      <c r="F266" s="81"/>
      <c r="G266" s="6"/>
      <c r="H266" s="60"/>
    </row>
    <row r="267" spans="6:8" ht="13.8">
      <c r="F267" s="81"/>
      <c r="G267" s="6"/>
      <c r="H267" s="60"/>
    </row>
    <row r="268" spans="6:8" ht="13.8">
      <c r="F268" s="81"/>
      <c r="G268" s="6"/>
      <c r="H268" s="60"/>
    </row>
    <row r="269" spans="6:8" ht="13.8">
      <c r="F269" s="81"/>
      <c r="G269" s="6"/>
      <c r="H269" s="60"/>
    </row>
    <row r="270" spans="6:8" ht="13.8">
      <c r="F270" s="81"/>
      <c r="G270" s="6"/>
      <c r="H270" s="60"/>
    </row>
    <row r="271" spans="6:8" ht="13.8">
      <c r="F271" s="81"/>
      <c r="G271" s="6"/>
      <c r="H271" s="60"/>
    </row>
    <row r="272" spans="6:8" ht="13.8">
      <c r="F272" s="81"/>
      <c r="G272" s="6"/>
      <c r="H272" s="60"/>
    </row>
    <row r="273" spans="6:8" ht="13.8">
      <c r="F273" s="81"/>
      <c r="G273" s="6"/>
      <c r="H273" s="60"/>
    </row>
    <row r="274" spans="6:8" ht="13.8">
      <c r="F274" s="81"/>
      <c r="G274" s="6"/>
      <c r="H274" s="60"/>
    </row>
    <row r="275" spans="6:8" ht="13.8">
      <c r="F275" s="81"/>
      <c r="G275" s="6"/>
      <c r="H275" s="60"/>
    </row>
    <row r="276" spans="6:8" ht="13.8">
      <c r="F276" s="81"/>
      <c r="G276" s="6"/>
      <c r="H276" s="60"/>
    </row>
    <row r="277" spans="6:8" ht="13.8">
      <c r="F277" s="81"/>
      <c r="G277" s="6"/>
      <c r="H277" s="60"/>
    </row>
    <row r="278" spans="6:8" ht="13.8">
      <c r="F278" s="81"/>
      <c r="G278" s="6"/>
      <c r="H278" s="60"/>
    </row>
    <row r="279" spans="6:8" ht="13.8">
      <c r="F279" s="81"/>
      <c r="G279" s="6"/>
      <c r="H279" s="60"/>
    </row>
    <row r="280" spans="6:8" ht="13.8">
      <c r="F280" s="81"/>
      <c r="G280" s="6"/>
      <c r="H280" s="60"/>
    </row>
    <row r="281" spans="6:8" ht="13.8">
      <c r="F281" s="81"/>
      <c r="G281" s="6"/>
      <c r="H281" s="60"/>
    </row>
    <row r="282" spans="6:8" ht="13.8">
      <c r="F282" s="81"/>
      <c r="G282" s="6"/>
      <c r="H282" s="60"/>
    </row>
    <row r="283" spans="6:8" ht="13.8">
      <c r="F283" s="81"/>
      <c r="G283" s="6"/>
      <c r="H283" s="60"/>
    </row>
    <row r="284" spans="6:8" ht="13.8">
      <c r="F284" s="81"/>
      <c r="G284" s="6"/>
      <c r="H284" s="60"/>
    </row>
    <row r="285" spans="6:8" ht="13.8">
      <c r="F285" s="81"/>
      <c r="G285" s="6"/>
      <c r="H285" s="60"/>
    </row>
    <row r="286" spans="6:8" ht="13.8">
      <c r="F286" s="81"/>
      <c r="G286" s="6"/>
      <c r="H286" s="60"/>
    </row>
    <row r="287" spans="6:8" ht="13.8">
      <c r="F287" s="81"/>
      <c r="G287" s="6"/>
      <c r="H287" s="60"/>
    </row>
    <row r="288" spans="6:8" ht="13.8">
      <c r="F288" s="81"/>
      <c r="G288" s="6"/>
      <c r="H288" s="60"/>
    </row>
    <row r="289" spans="6:8" ht="13.8">
      <c r="F289" s="81"/>
      <c r="G289" s="6"/>
      <c r="H289" s="60"/>
    </row>
    <row r="290" spans="6:8" ht="13.8">
      <c r="F290" s="81"/>
      <c r="G290" s="6"/>
      <c r="H290" s="60"/>
    </row>
    <row r="291" spans="6:8" ht="13.8">
      <c r="F291" s="81"/>
      <c r="G291" s="6"/>
      <c r="H291" s="60"/>
    </row>
    <row r="292" spans="6:8" ht="13.8">
      <c r="F292" s="81"/>
      <c r="G292" s="6"/>
      <c r="H292" s="60"/>
    </row>
    <row r="293" spans="6:8" ht="13.8">
      <c r="F293" s="81"/>
      <c r="G293" s="6"/>
      <c r="H293" s="60"/>
    </row>
    <row r="294" spans="6:8" ht="13.8">
      <c r="F294" s="81"/>
      <c r="G294" s="6"/>
      <c r="H294" s="60"/>
    </row>
    <row r="295" spans="6:8" ht="13.8">
      <c r="F295" s="81"/>
      <c r="G295" s="6"/>
      <c r="H295" s="60"/>
    </row>
    <row r="296" spans="6:8" ht="13.8">
      <c r="F296" s="81"/>
      <c r="G296" s="6"/>
      <c r="H296" s="60"/>
    </row>
    <row r="297" spans="6:8" ht="13.8">
      <c r="F297" s="81"/>
      <c r="G297" s="6"/>
      <c r="H297" s="60"/>
    </row>
    <row r="298" spans="6:8" ht="13.8">
      <c r="F298" s="81"/>
      <c r="G298" s="6"/>
      <c r="H298" s="60"/>
    </row>
    <row r="299" spans="6:8" ht="13.8">
      <c r="F299" s="81"/>
      <c r="G299" s="6"/>
      <c r="H299" s="60"/>
    </row>
    <row r="300" spans="6:8" ht="13.8">
      <c r="F300" s="81"/>
      <c r="G300" s="6"/>
      <c r="H300" s="60"/>
    </row>
    <row r="301" spans="6:8" ht="13.8">
      <c r="F301" s="81"/>
      <c r="G301" s="6"/>
      <c r="H301" s="60"/>
    </row>
    <row r="302" spans="6:8" ht="13.8">
      <c r="F302" s="81"/>
      <c r="G302" s="6"/>
      <c r="H302" s="60"/>
    </row>
    <row r="303" spans="6:8" ht="13.8">
      <c r="F303" s="81"/>
      <c r="G303" s="6"/>
      <c r="H303" s="60"/>
    </row>
    <row r="304" spans="6:8" ht="13.8">
      <c r="F304" s="81"/>
      <c r="G304" s="6"/>
      <c r="H304" s="60"/>
    </row>
    <row r="305" spans="6:8" ht="13.8">
      <c r="F305" s="81"/>
      <c r="G305" s="6"/>
      <c r="H305" s="60"/>
    </row>
    <row r="306" spans="6:8" ht="13.8">
      <c r="F306" s="81"/>
      <c r="G306" s="6"/>
      <c r="H306" s="60"/>
    </row>
    <row r="307" spans="6:8" ht="13.8">
      <c r="F307" s="81"/>
      <c r="G307" s="6"/>
      <c r="H307" s="60"/>
    </row>
    <row r="308" spans="6:8" ht="13.8">
      <c r="F308" s="81"/>
      <c r="G308" s="6"/>
      <c r="H308" s="60"/>
    </row>
    <row r="309" spans="6:8" ht="13.8">
      <c r="F309" s="81"/>
      <c r="G309" s="6"/>
      <c r="H309" s="60"/>
    </row>
    <row r="310" spans="6:8" ht="13.8">
      <c r="F310" s="81"/>
      <c r="G310" s="6"/>
      <c r="H310" s="60"/>
    </row>
    <row r="311" spans="6:8" ht="13.8">
      <c r="F311" s="81"/>
      <c r="G311" s="6"/>
      <c r="H311" s="60"/>
    </row>
    <row r="312" spans="6:8" ht="13.8">
      <c r="F312" s="81"/>
      <c r="G312" s="6"/>
      <c r="H312" s="60"/>
    </row>
    <row r="313" spans="6:8" ht="13.8">
      <c r="F313" s="81"/>
      <c r="G313" s="6"/>
      <c r="H313" s="60"/>
    </row>
    <row r="314" spans="6:8" ht="13.8">
      <c r="F314" s="81"/>
      <c r="G314" s="6"/>
      <c r="H314" s="60"/>
    </row>
    <row r="315" spans="6:8" ht="13.8">
      <c r="F315" s="81"/>
      <c r="G315" s="6"/>
      <c r="H315" s="60"/>
    </row>
    <row r="316" spans="6:8" ht="13.8">
      <c r="F316" s="81"/>
      <c r="G316" s="6"/>
      <c r="H316" s="60"/>
    </row>
    <row r="317" spans="6:8" ht="13.8">
      <c r="F317" s="81"/>
      <c r="G317" s="6"/>
      <c r="H317" s="60"/>
    </row>
    <row r="318" spans="6:8" ht="13.8">
      <c r="F318" s="81"/>
      <c r="G318" s="6"/>
      <c r="H318" s="60"/>
    </row>
    <row r="319" spans="6:8" ht="13.8">
      <c r="F319" s="81"/>
      <c r="G319" s="6"/>
      <c r="H319" s="60"/>
    </row>
    <row r="320" spans="6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  <row r="455" spans="6:8" ht="13.2"/>
    <row r="456" spans="6:8" ht="13.2"/>
    <row r="457" spans="6:8" ht="13.2"/>
    <row r="458" spans="6:8" ht="13.2"/>
    <row r="459" spans="6:8" ht="13.2"/>
    <row r="460" spans="6:8" ht="13.2"/>
    <row r="461" spans="6:8" ht="13.2"/>
    <row r="462" spans="6:8" ht="13.2"/>
    <row r="463" spans="6:8" ht="13.2"/>
    <row r="464" spans="6:8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</sheetData>
  <mergeCells count="12">
    <mergeCell ref="B2:H5"/>
    <mergeCell ref="B7:D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BFED7E0B-6AB8-475F-A59A-C2AC9B1958DF}">
          <x14:formula1>
            <xm:f>Categorias!$A:$A</xm:f>
          </x14:formula1>
          <xm:sqref>D13:D254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FF0D-6BE4-41A8-81EE-DF21FCD99B14}">
  <dimension ref="A1:H997"/>
  <sheetViews>
    <sheetView showGridLines="0" topLeftCell="A4" workbookViewId="0">
      <selection activeCell="G7" sqref="G7:H7"/>
    </sheetView>
  </sheetViews>
  <sheetFormatPr defaultColWidth="12.6640625" defaultRowHeight="15" customHeight="1"/>
  <cols>
    <col min="1" max="1" width="5.33203125" style="77" customWidth="1"/>
    <col min="2" max="2" width="13" style="76" bestFit="1" customWidth="1"/>
    <col min="3" max="3" width="33.33203125" style="7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8" s="8" customFormat="1" ht="4.5" customHeight="1">
      <c r="B1" s="76"/>
      <c r="C1" s="83"/>
      <c r="F1" s="85"/>
      <c r="G1" s="63"/>
    </row>
    <row r="2" spans="1:8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8" ht="12.75" customHeight="1">
      <c r="B3" s="137"/>
      <c r="C3" s="138"/>
      <c r="D3" s="138"/>
      <c r="E3" s="138"/>
      <c r="F3" s="138"/>
      <c r="G3" s="138"/>
      <c r="H3" s="138"/>
    </row>
    <row r="4" spans="1:8" ht="12.75" customHeight="1">
      <c r="B4" s="137"/>
      <c r="C4" s="138"/>
      <c r="D4" s="138"/>
      <c r="E4" s="138"/>
      <c r="F4" s="138"/>
      <c r="G4" s="138"/>
      <c r="H4" s="138"/>
    </row>
    <row r="5" spans="1:8" ht="12.75" customHeight="1">
      <c r="B5" s="139"/>
      <c r="C5" s="140"/>
      <c r="D5" s="140"/>
      <c r="E5" s="140"/>
      <c r="F5" s="140"/>
      <c r="G5" s="140"/>
      <c r="H5" s="140"/>
    </row>
    <row r="6" spans="1:8" s="8" customFormat="1" ht="3.75" customHeight="1">
      <c r="B6" s="76"/>
      <c r="C6" s="83"/>
      <c r="F6" s="85"/>
      <c r="G6" s="63"/>
    </row>
    <row r="7" spans="1:8" ht="21">
      <c r="A7" s="61"/>
      <c r="B7" s="149" t="s">
        <v>95</v>
      </c>
      <c r="C7" s="150"/>
      <c r="D7" s="150"/>
      <c r="E7" s="71"/>
      <c r="F7" s="71"/>
      <c r="G7" s="135">
        <f>D8+D9+D10+G8+G9+G10</f>
        <v>40</v>
      </c>
      <c r="H7" s="136"/>
    </row>
    <row r="8" spans="1:8" ht="15.6">
      <c r="A8" s="61"/>
      <c r="B8" s="148" t="s">
        <v>90</v>
      </c>
      <c r="C8" s="148"/>
      <c r="D8" s="65"/>
      <c r="E8" s="147" t="s">
        <v>93</v>
      </c>
      <c r="F8" s="148"/>
      <c r="G8" s="141"/>
      <c r="H8" s="142"/>
    </row>
    <row r="9" spans="1:8" ht="15.6">
      <c r="A9" s="61"/>
      <c r="B9" s="146" t="s">
        <v>91</v>
      </c>
      <c r="C9" s="146"/>
      <c r="D9" s="64"/>
      <c r="E9" s="145" t="s">
        <v>94</v>
      </c>
      <c r="F9" s="146"/>
      <c r="G9" s="143"/>
      <c r="H9" s="144"/>
    </row>
    <row r="10" spans="1:8" s="8" customFormat="1" ht="15.6">
      <c r="A10" s="61"/>
      <c r="B10" s="148" t="s">
        <v>92</v>
      </c>
      <c r="C10" s="148"/>
      <c r="D10" s="65"/>
      <c r="E10" s="145" t="s">
        <v>96</v>
      </c>
      <c r="F10" s="146"/>
      <c r="G10" s="141">
        <v>40</v>
      </c>
      <c r="H10" s="142"/>
    </row>
    <row r="11" spans="1:8" s="8" customFormat="1" ht="4.5" customHeight="1">
      <c r="B11" s="76"/>
      <c r="C11" s="83"/>
      <c r="F11" s="84"/>
      <c r="G11" s="84"/>
    </row>
    <row r="12" spans="1:8" ht="18">
      <c r="B12" s="67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8" ht="13.8">
      <c r="B13" s="74"/>
      <c r="C13" s="68"/>
      <c r="D13" s="1"/>
      <c r="E13" s="62" t="str">
        <f>IF(ISERROR(VLOOKUP(D13,Categorias!A:B,2,0)),"",VLOOKUP(D13,Categorias!A:B,2,0))</f>
        <v/>
      </c>
      <c r="F13" s="80"/>
      <c r="G13" s="5"/>
      <c r="H13" s="78">
        <f>G7+F13-G13</f>
        <v>40</v>
      </c>
    </row>
    <row r="14" spans="1:8" ht="9.75" customHeight="1">
      <c r="B14" s="74"/>
      <c r="C14" s="68"/>
      <c r="D14" s="1"/>
      <c r="E14" s="1" t="str">
        <f>IF(ISERROR(VLOOKUP(D14,Categorias!A:B,2,0)),"",VLOOKUP(D14,Categorias!A:B,2,0))</f>
        <v/>
      </c>
      <c r="F14" s="80"/>
      <c r="G14" s="5"/>
      <c r="H14" s="79">
        <f t="shared" ref="H14:H77" si="0">H13+F14-G14</f>
        <v>40</v>
      </c>
    </row>
    <row r="15" spans="1:8" ht="13.8">
      <c r="B15" s="74"/>
      <c r="C15" s="68"/>
      <c r="D15" s="1"/>
      <c r="E15" s="1" t="str">
        <f>IF(ISERROR(VLOOKUP(D15,Categorias!A:B,2,0)),"",VLOOKUP(D15,Categorias!A:B,2,0))</f>
        <v/>
      </c>
      <c r="F15" s="80"/>
      <c r="G15" s="5"/>
      <c r="H15" s="79">
        <f t="shared" si="0"/>
        <v>40</v>
      </c>
    </row>
    <row r="16" spans="1:8" ht="13.8">
      <c r="B16" s="74"/>
      <c r="C16" s="68"/>
      <c r="D16" s="1"/>
      <c r="E16" s="1" t="str">
        <f>IF(ISERROR(VLOOKUP(D16,Categorias!A:B,2,0)),"",VLOOKUP(D16,Categorias!A:B,2,0))</f>
        <v/>
      </c>
      <c r="F16" s="80"/>
      <c r="G16" s="5"/>
      <c r="H16" s="79">
        <f t="shared" si="0"/>
        <v>40</v>
      </c>
    </row>
    <row r="17" spans="2:8" ht="13.8">
      <c r="B17" s="74"/>
      <c r="C17" s="68"/>
      <c r="D17" s="1"/>
      <c r="E17" s="1" t="str">
        <f>IF(ISERROR(VLOOKUP(D17,Categorias!A:B,2,0)),"",VLOOKUP(D17,Categorias!A:B,2,0))</f>
        <v/>
      </c>
      <c r="F17" s="80"/>
      <c r="G17" s="5"/>
      <c r="H17" s="79">
        <f t="shared" si="0"/>
        <v>40</v>
      </c>
    </row>
    <row r="18" spans="2:8" ht="13.8">
      <c r="B18" s="74"/>
      <c r="C18" s="68"/>
      <c r="D18" s="1"/>
      <c r="E18" s="1" t="str">
        <f>IF(ISERROR(VLOOKUP(D18,Categorias!A:B,2,0)),"",VLOOKUP(D18,Categorias!A:B,2,0))</f>
        <v/>
      </c>
      <c r="F18" s="80"/>
      <c r="G18" s="5"/>
      <c r="H18" s="79">
        <f t="shared" si="0"/>
        <v>40</v>
      </c>
    </row>
    <row r="19" spans="2:8" ht="13.8">
      <c r="B19" s="74"/>
      <c r="C19" s="68"/>
      <c r="D19" s="1"/>
      <c r="E19" s="1" t="str">
        <f>IF(ISERROR(VLOOKUP(D19,Categorias!A:B,2,0)),"",VLOOKUP(D19,Categorias!A:B,2,0))</f>
        <v/>
      </c>
      <c r="F19" s="80"/>
      <c r="G19" s="5"/>
      <c r="H19" s="79">
        <f t="shared" si="0"/>
        <v>40</v>
      </c>
    </row>
    <row r="20" spans="2:8" ht="13.8">
      <c r="B20" s="74"/>
      <c r="C20" s="68"/>
      <c r="D20" s="1"/>
      <c r="E20" s="1" t="str">
        <f>IF(ISERROR(VLOOKUP(D20,Categorias!A:B,2,0)),"",VLOOKUP(D20,Categorias!A:B,2,0))</f>
        <v/>
      </c>
      <c r="F20" s="80"/>
      <c r="G20" s="5"/>
      <c r="H20" s="79">
        <f t="shared" si="0"/>
        <v>40</v>
      </c>
    </row>
    <row r="21" spans="2:8" ht="13.8">
      <c r="B21" s="74"/>
      <c r="C21" s="68"/>
      <c r="D21" s="1"/>
      <c r="E21" s="1" t="str">
        <f>IF(ISERROR(VLOOKUP(D21,Categorias!A:B,2,0)),"",VLOOKUP(D21,Categorias!A:B,2,0))</f>
        <v/>
      </c>
      <c r="F21" s="80"/>
      <c r="G21" s="5"/>
      <c r="H21" s="79">
        <f t="shared" si="0"/>
        <v>40</v>
      </c>
    </row>
    <row r="22" spans="2:8" ht="13.8">
      <c r="B22" s="74"/>
      <c r="C22" s="68"/>
      <c r="D22" s="1"/>
      <c r="E22" s="1" t="str">
        <f>IF(ISERROR(VLOOKUP(D22,Categorias!A:B,2,0)),"",VLOOKUP(D22,Categorias!A:B,2,0))</f>
        <v/>
      </c>
      <c r="F22" s="80"/>
      <c r="G22" s="5"/>
      <c r="H22" s="79">
        <f t="shared" si="0"/>
        <v>40</v>
      </c>
    </row>
    <row r="23" spans="2:8" ht="13.8">
      <c r="B23" s="74"/>
      <c r="C23" s="68"/>
      <c r="D23" s="1"/>
      <c r="E23" s="1" t="str">
        <f>IF(ISERROR(VLOOKUP(D23,Categorias!A:B,2,0)),"",VLOOKUP(D23,Categorias!A:B,2,0))</f>
        <v/>
      </c>
      <c r="F23" s="80"/>
      <c r="G23" s="5"/>
      <c r="H23" s="79">
        <f t="shared" si="0"/>
        <v>40</v>
      </c>
    </row>
    <row r="24" spans="2:8" ht="13.8">
      <c r="B24" s="74"/>
      <c r="C24" s="68"/>
      <c r="D24" s="1"/>
      <c r="E24" s="1" t="str">
        <f>IF(ISERROR(VLOOKUP(D24,Categorias!A:B,2,0)),"",VLOOKUP(D24,Categorias!A:B,2,0))</f>
        <v/>
      </c>
      <c r="F24" s="80"/>
      <c r="G24" s="5"/>
      <c r="H24" s="79">
        <f t="shared" si="0"/>
        <v>40</v>
      </c>
    </row>
    <row r="25" spans="2:8" ht="13.8">
      <c r="B25" s="74"/>
      <c r="C25" s="68"/>
      <c r="D25" s="1"/>
      <c r="E25" s="1" t="str">
        <f>IF(ISERROR(VLOOKUP(D25,Categorias!A:B,2,0)),"",VLOOKUP(D25,Categorias!A:B,2,0))</f>
        <v/>
      </c>
      <c r="F25" s="80"/>
      <c r="G25" s="5"/>
      <c r="H25" s="79">
        <f t="shared" si="0"/>
        <v>40</v>
      </c>
    </row>
    <row r="26" spans="2:8" ht="13.8">
      <c r="B26" s="74"/>
      <c r="C26" s="68"/>
      <c r="D26" s="1"/>
      <c r="E26" s="1" t="str">
        <f>IF(ISERROR(VLOOKUP(D26,Categorias!A:B,2,0)),"",VLOOKUP(D26,Categorias!A:B,2,0))</f>
        <v/>
      </c>
      <c r="F26" s="80"/>
      <c r="G26" s="5"/>
      <c r="H26" s="79">
        <f t="shared" si="0"/>
        <v>40</v>
      </c>
    </row>
    <row r="27" spans="2:8" ht="13.8">
      <c r="B27" s="74"/>
      <c r="C27" s="68"/>
      <c r="D27" s="1"/>
      <c r="E27" s="1" t="str">
        <f>IF(ISERROR(VLOOKUP(D27,Categorias!A:B,2,0)),"",VLOOKUP(D27,Categorias!A:B,2,0))</f>
        <v/>
      </c>
      <c r="F27" s="80"/>
      <c r="G27" s="5"/>
      <c r="H27" s="79">
        <f t="shared" si="0"/>
        <v>40</v>
      </c>
    </row>
    <row r="28" spans="2:8" ht="13.8">
      <c r="B28" s="74"/>
      <c r="C28" s="68"/>
      <c r="D28" s="1"/>
      <c r="E28" s="1" t="str">
        <f>IF(ISERROR(VLOOKUP(D28,Categorias!A:B,2,0)),"",VLOOKUP(D28,Categorias!A:B,2,0))</f>
        <v/>
      </c>
      <c r="F28" s="80"/>
      <c r="G28" s="5"/>
      <c r="H28" s="79">
        <f t="shared" si="0"/>
        <v>40</v>
      </c>
    </row>
    <row r="29" spans="2:8" ht="13.8">
      <c r="B29" s="74"/>
      <c r="C29" s="68"/>
      <c r="D29" s="1"/>
      <c r="E29" s="1" t="str">
        <f>IF(ISERROR(VLOOKUP(D29,Categorias!A:B,2,0)),"",VLOOKUP(D29,Categorias!A:B,2,0))</f>
        <v/>
      </c>
      <c r="F29" s="80"/>
      <c r="G29" s="5"/>
      <c r="H29" s="79">
        <f t="shared" si="0"/>
        <v>40</v>
      </c>
    </row>
    <row r="30" spans="2:8" ht="13.8">
      <c r="B30" s="75"/>
      <c r="C30" s="68"/>
      <c r="D30" s="1"/>
      <c r="E30" s="1" t="str">
        <f>IF(ISERROR(VLOOKUP(D30,Categorias!A:B,2,0)),"",VLOOKUP(D30,Categorias!A:B,2,0))</f>
        <v/>
      </c>
      <c r="F30" s="80"/>
      <c r="G30" s="5"/>
      <c r="H30" s="79">
        <f t="shared" si="0"/>
        <v>40</v>
      </c>
    </row>
    <row r="31" spans="2:8" ht="13.8">
      <c r="B31" s="75"/>
      <c r="C31" s="68"/>
      <c r="D31" s="1"/>
      <c r="E31" s="1" t="str">
        <f>IF(ISERROR(VLOOKUP(D31,Categorias!A:B,2,0)),"",VLOOKUP(D31,Categorias!A:B,2,0))</f>
        <v/>
      </c>
      <c r="F31" s="80"/>
      <c r="G31" s="5"/>
      <c r="H31" s="73">
        <f t="shared" si="0"/>
        <v>40</v>
      </c>
    </row>
    <row r="32" spans="2:8" ht="13.8">
      <c r="B32" s="75"/>
      <c r="C32" s="70"/>
      <c r="D32" s="1"/>
      <c r="E32" s="1" t="str">
        <f>IF(ISERROR(VLOOKUP(D32,Categorias!A:B,2,0)),"",VLOOKUP(D32,Categorias!A:B,2,0))</f>
        <v/>
      </c>
      <c r="F32" s="80"/>
      <c r="G32" s="5"/>
      <c r="H32" s="73">
        <f t="shared" si="0"/>
        <v>40</v>
      </c>
    </row>
    <row r="33" spans="2:8" ht="13.8">
      <c r="B33" s="75"/>
      <c r="C33" s="70"/>
      <c r="D33" s="1"/>
      <c r="E33" s="1" t="str">
        <f>IF(ISERROR(VLOOKUP(D33,Categorias!A:B,2,0)),"",VLOOKUP(D33,Categorias!A:B,2,0))</f>
        <v/>
      </c>
      <c r="F33" s="80"/>
      <c r="G33" s="5"/>
      <c r="H33" s="73">
        <f t="shared" si="0"/>
        <v>40</v>
      </c>
    </row>
    <row r="34" spans="2:8" ht="13.8">
      <c r="B34" s="75"/>
      <c r="C34" s="70"/>
      <c r="D34" s="1"/>
      <c r="E34" s="1" t="str">
        <f>IF(ISERROR(VLOOKUP(D34,Categorias!A:B,2,0)),"",VLOOKUP(D34,Categorias!A:B,2,0))</f>
        <v/>
      </c>
      <c r="F34" s="80"/>
      <c r="G34" s="5"/>
      <c r="H34" s="73">
        <f t="shared" si="0"/>
        <v>40</v>
      </c>
    </row>
    <row r="35" spans="2:8" ht="13.8">
      <c r="B35" s="75"/>
      <c r="C35" s="70"/>
      <c r="D35" s="1"/>
      <c r="E35" s="1" t="s">
        <v>34</v>
      </c>
      <c r="F35" s="80"/>
      <c r="G35" s="5"/>
      <c r="H35" s="73">
        <f t="shared" si="0"/>
        <v>40</v>
      </c>
    </row>
    <row r="36" spans="2:8" ht="13.8">
      <c r="B36" s="75"/>
      <c r="C36" s="70"/>
      <c r="D36" s="1"/>
      <c r="E36" s="1" t="str">
        <f>IF(ISERROR(VLOOKUP(D36,Categorias!A:B,2,0)),"",VLOOKUP(D36,Categorias!A:B,2,0))</f>
        <v/>
      </c>
      <c r="F36" s="80"/>
      <c r="G36" s="5"/>
      <c r="H36" s="73">
        <f t="shared" si="0"/>
        <v>40</v>
      </c>
    </row>
    <row r="37" spans="2:8" ht="13.8">
      <c r="B37" s="75"/>
      <c r="C37" s="70"/>
      <c r="D37" s="1"/>
      <c r="E37" s="1" t="str">
        <f>IF(ISERROR(VLOOKUP(D37,Categorias!A:B,2,0)),"",VLOOKUP(D37,Categorias!A:B,2,0))</f>
        <v/>
      </c>
      <c r="F37" s="80"/>
      <c r="G37" s="5"/>
      <c r="H37" s="73">
        <f t="shared" si="0"/>
        <v>40</v>
      </c>
    </row>
    <row r="38" spans="2:8" ht="13.8">
      <c r="B38" s="75"/>
      <c r="C38" s="69"/>
      <c r="D38" s="1"/>
      <c r="E38" s="1" t="str">
        <f>IF(ISERROR(VLOOKUP(D38,Categorias!A:B,2,0)),"",VLOOKUP(D38,Categorias!A:B,2,0))</f>
        <v/>
      </c>
      <c r="F38" s="80"/>
      <c r="G38" s="5"/>
      <c r="H38" s="73">
        <f t="shared" si="0"/>
        <v>40</v>
      </c>
    </row>
    <row r="39" spans="2:8" ht="13.8">
      <c r="B39" s="75"/>
      <c r="C39" s="70"/>
      <c r="D39" s="1"/>
      <c r="E39" s="1" t="str">
        <f>IF(ISERROR(VLOOKUP(D39,Categorias!A:B,2,0)),"",VLOOKUP(D39,Categorias!A:B,2,0))</f>
        <v/>
      </c>
      <c r="F39" s="80"/>
      <c r="G39" s="5"/>
      <c r="H39" s="73">
        <f t="shared" si="0"/>
        <v>40</v>
      </c>
    </row>
    <row r="40" spans="2:8" ht="13.8">
      <c r="B40" s="75"/>
      <c r="C40" s="70"/>
      <c r="D40" s="1"/>
      <c r="E40" s="1" t="str">
        <f>IF(ISERROR(VLOOKUP(D40,Categorias!A:B,2,0)),"",VLOOKUP(D40,Categorias!A:B,2,0))</f>
        <v/>
      </c>
      <c r="F40" s="80"/>
      <c r="G40" s="5"/>
      <c r="H40" s="73">
        <f t="shared" si="0"/>
        <v>40</v>
      </c>
    </row>
    <row r="41" spans="2:8" ht="13.8">
      <c r="B41" s="75"/>
      <c r="C41" s="70"/>
      <c r="D41" s="1"/>
      <c r="E41" s="1" t="str">
        <f>IF(ISERROR(VLOOKUP(D41,Categorias!A:B,2,0)),"",VLOOKUP(D41,Categorias!A:B,2,0))</f>
        <v/>
      </c>
      <c r="F41" s="80"/>
      <c r="G41" s="5"/>
      <c r="H41" s="73">
        <f t="shared" si="0"/>
        <v>40</v>
      </c>
    </row>
    <row r="42" spans="2:8" ht="13.8">
      <c r="B42" s="75"/>
      <c r="C42" s="70"/>
      <c r="D42" s="1"/>
      <c r="E42" s="1" t="str">
        <f>IF(ISERROR(VLOOKUP(D42,Categorias!A:B,2,0)),"",VLOOKUP(D42,Categorias!A:B,2,0))</f>
        <v/>
      </c>
      <c r="F42" s="80"/>
      <c r="G42" s="5"/>
      <c r="H42" s="73">
        <f t="shared" si="0"/>
        <v>40</v>
      </c>
    </row>
    <row r="43" spans="2:8" ht="13.8">
      <c r="B43" s="75"/>
      <c r="C43" s="70"/>
      <c r="D43" s="1"/>
      <c r="E43" s="1" t="str">
        <f>IF(ISERROR(VLOOKUP(D43,Categorias!A:B,2,0)),"",VLOOKUP(D43,Categorias!A:B,2,0))</f>
        <v/>
      </c>
      <c r="F43" s="80"/>
      <c r="G43" s="5"/>
      <c r="H43" s="73">
        <f t="shared" si="0"/>
        <v>40</v>
      </c>
    </row>
    <row r="44" spans="2:8" ht="13.8">
      <c r="B44" s="75"/>
      <c r="D44" s="1"/>
      <c r="E44" s="1" t="s">
        <v>36</v>
      </c>
      <c r="F44" s="80"/>
      <c r="G44" s="5"/>
      <c r="H44" s="73">
        <f t="shared" si="0"/>
        <v>40</v>
      </c>
    </row>
    <row r="45" spans="2:8" ht="13.8">
      <c r="B45" s="75"/>
      <c r="D45" s="1"/>
      <c r="E45" s="1" t="str">
        <f>IF(ISERROR(VLOOKUP(D45,Categorias!A:B,2,0)),"",VLOOKUP(D45,Categorias!A:B,2,0))</f>
        <v/>
      </c>
      <c r="F45" s="80"/>
      <c r="G45" s="5"/>
      <c r="H45" s="73">
        <f t="shared" si="0"/>
        <v>40</v>
      </c>
    </row>
    <row r="46" spans="2:8" ht="13.8">
      <c r="B46" s="75"/>
      <c r="D46" s="1"/>
      <c r="E46" s="1" t="str">
        <f>IF(ISERROR(VLOOKUP(D46,Categorias!A:B,2,0)),"",VLOOKUP(D46,Categorias!A:B,2,0))</f>
        <v/>
      </c>
      <c r="F46" s="80"/>
      <c r="G46" s="5"/>
      <c r="H46" s="73">
        <f t="shared" si="0"/>
        <v>40</v>
      </c>
    </row>
    <row r="47" spans="2:8" ht="13.8">
      <c r="B47" s="75"/>
      <c r="D47" s="1"/>
      <c r="E47" s="1" t="str">
        <f>IF(ISERROR(VLOOKUP(D47,Categorias!A:B,2,0)),"",VLOOKUP(D47,Categorias!A:B,2,0))</f>
        <v/>
      </c>
      <c r="F47" s="80"/>
      <c r="G47" s="5"/>
      <c r="H47" s="73">
        <f t="shared" si="0"/>
        <v>40</v>
      </c>
    </row>
    <row r="48" spans="2:8" ht="13.8">
      <c r="B48" s="75"/>
      <c r="D48" s="1"/>
      <c r="E48" s="1" t="str">
        <f>IF(ISERROR(VLOOKUP(D48,Categorias!A:B,2,0)),"",VLOOKUP(D48,Categorias!A:B,2,0))</f>
        <v/>
      </c>
      <c r="F48" s="80"/>
      <c r="G48" s="5"/>
      <c r="H48" s="73">
        <f t="shared" si="0"/>
        <v>40</v>
      </c>
    </row>
    <row r="49" spans="2:8" ht="13.8">
      <c r="B49" s="75"/>
      <c r="D49" s="1"/>
      <c r="E49" s="1" t="str">
        <f>IF(ISERROR(VLOOKUP(D49,Categorias!A:B,2,0)),"",VLOOKUP(D49,Categorias!A:B,2,0))</f>
        <v/>
      </c>
      <c r="F49" s="80"/>
      <c r="G49" s="5"/>
      <c r="H49" s="73">
        <f t="shared" si="0"/>
        <v>40</v>
      </c>
    </row>
    <row r="50" spans="2:8" ht="13.8">
      <c r="B50" s="75"/>
      <c r="D50" s="1"/>
      <c r="E50" s="1" t="str">
        <f>IF(ISERROR(VLOOKUP(D50,Categorias!A:B,2,0)),"",VLOOKUP(D50,Categorias!A:B,2,0))</f>
        <v/>
      </c>
      <c r="F50" s="80"/>
      <c r="G50" s="5"/>
      <c r="H50" s="73">
        <f t="shared" si="0"/>
        <v>40</v>
      </c>
    </row>
    <row r="51" spans="2:8" ht="13.8">
      <c r="B51" s="75"/>
      <c r="D51" s="1"/>
      <c r="E51" s="1" t="str">
        <f>IF(ISERROR(VLOOKUP(D51,Categorias!A:B,2,0)),"",VLOOKUP(D51,Categorias!A:B,2,0))</f>
        <v/>
      </c>
      <c r="F51" s="80"/>
      <c r="G51" s="5"/>
      <c r="H51" s="73">
        <f t="shared" si="0"/>
        <v>40</v>
      </c>
    </row>
    <row r="52" spans="2:8" ht="13.8">
      <c r="B52" s="75"/>
      <c r="D52" s="1"/>
      <c r="E52" s="1" t="str">
        <f>IF(ISERROR(VLOOKUP(D52,Categorias!A:B,2,0)),"",VLOOKUP(D52,Categorias!A:B,2,0))</f>
        <v/>
      </c>
      <c r="F52" s="80"/>
      <c r="G52" s="5"/>
      <c r="H52" s="73">
        <f t="shared" si="0"/>
        <v>40</v>
      </c>
    </row>
    <row r="53" spans="2:8" ht="13.8">
      <c r="B53" s="75"/>
      <c r="D53" s="1"/>
      <c r="E53" s="1" t="str">
        <f>IF(ISERROR(VLOOKUP(D53,Categorias!A:B,2,0)),"",VLOOKUP(D53,Categorias!A:B,2,0))</f>
        <v/>
      </c>
      <c r="F53" s="80"/>
      <c r="G53" s="5"/>
      <c r="H53" s="73">
        <f t="shared" si="0"/>
        <v>40</v>
      </c>
    </row>
    <row r="54" spans="2:8" ht="13.8">
      <c r="B54" s="75"/>
      <c r="D54" s="1"/>
      <c r="E54" s="1" t="str">
        <f>IF(ISERROR(VLOOKUP(D54,Categorias!A:B,2,0)),"",VLOOKUP(D54,Categorias!A:B,2,0))</f>
        <v/>
      </c>
      <c r="F54" s="80"/>
      <c r="G54" s="5"/>
      <c r="H54" s="73">
        <f t="shared" si="0"/>
        <v>40</v>
      </c>
    </row>
    <row r="55" spans="2:8" ht="13.8">
      <c r="B55" s="75"/>
      <c r="D55" s="1"/>
      <c r="E55" s="1" t="str">
        <f>IF(ISERROR(VLOOKUP(D55,Categorias!A:B,2,0)),"",VLOOKUP(D55,Categorias!A:B,2,0))</f>
        <v/>
      </c>
      <c r="F55" s="80"/>
      <c r="G55" s="5"/>
      <c r="H55" s="73">
        <f t="shared" si="0"/>
        <v>40</v>
      </c>
    </row>
    <row r="56" spans="2:8" ht="13.8">
      <c r="B56" s="75"/>
      <c r="D56" s="1"/>
      <c r="E56" s="1" t="str">
        <f>IF(ISERROR(VLOOKUP(D56,Categorias!A:B,2,0)),"",VLOOKUP(D56,Categorias!A:B,2,0))</f>
        <v/>
      </c>
      <c r="F56" s="80"/>
      <c r="G56" s="5"/>
      <c r="H56" s="73">
        <f t="shared" si="0"/>
        <v>40</v>
      </c>
    </row>
    <row r="57" spans="2:8" ht="13.8">
      <c r="B57" s="75"/>
      <c r="D57" s="1"/>
      <c r="E57" s="1" t="str">
        <f>IF(ISERROR(VLOOKUP(D57,Categorias!A:B,2,0)),"",VLOOKUP(D57,Categorias!A:B,2,0))</f>
        <v/>
      </c>
      <c r="F57" s="80"/>
      <c r="G57" s="5"/>
      <c r="H57" s="73">
        <f t="shared" si="0"/>
        <v>40</v>
      </c>
    </row>
    <row r="58" spans="2:8" ht="13.8">
      <c r="B58" s="75"/>
      <c r="D58" s="1"/>
      <c r="E58" s="1" t="str">
        <f>IF(ISERROR(VLOOKUP(D58,Categorias!A:B,2,0)),"",VLOOKUP(D58,Categorias!A:B,2,0))</f>
        <v/>
      </c>
      <c r="F58" s="80"/>
      <c r="G58" s="5"/>
      <c r="H58" s="73">
        <f t="shared" si="0"/>
        <v>40</v>
      </c>
    </row>
    <row r="59" spans="2:8" ht="13.8">
      <c r="B59" s="75"/>
      <c r="D59" s="1"/>
      <c r="E59" s="1" t="str">
        <f>IF(ISERROR(VLOOKUP(D59,Categorias!A:B,2,0)),"",VLOOKUP(D59,Categorias!A:B,2,0))</f>
        <v/>
      </c>
      <c r="F59" s="80"/>
      <c r="G59" s="5"/>
      <c r="H59" s="73">
        <f t="shared" si="0"/>
        <v>40</v>
      </c>
    </row>
    <row r="60" spans="2:8" ht="13.8">
      <c r="B60" s="75"/>
      <c r="D60" s="1"/>
      <c r="E60" s="1" t="str">
        <f>IF(ISERROR(VLOOKUP(D60,Categorias!A:B,2,0)),"",VLOOKUP(D60,Categorias!A:B,2,0))</f>
        <v/>
      </c>
      <c r="F60" s="80"/>
      <c r="G60" s="5"/>
      <c r="H60" s="73">
        <f t="shared" si="0"/>
        <v>40</v>
      </c>
    </row>
    <row r="61" spans="2:8" ht="13.8">
      <c r="B61" s="75"/>
      <c r="D61" s="1"/>
      <c r="E61" s="1" t="str">
        <f>IF(ISERROR(VLOOKUP(D61,Categorias!A:B,2,0)),"",VLOOKUP(D61,Categorias!A:B,2,0))</f>
        <v/>
      </c>
      <c r="F61" s="80"/>
      <c r="G61" s="5"/>
      <c r="H61" s="73">
        <f t="shared" si="0"/>
        <v>40</v>
      </c>
    </row>
    <row r="62" spans="2:8" ht="13.8">
      <c r="B62" s="75"/>
      <c r="D62" s="1"/>
      <c r="E62" s="1" t="str">
        <f>IF(ISERROR(VLOOKUP(D62,Categorias!A:B,2,0)),"",VLOOKUP(D62,Categorias!A:B,2,0))</f>
        <v/>
      </c>
      <c r="F62" s="80"/>
      <c r="G62" s="5"/>
      <c r="H62" s="73">
        <f t="shared" si="0"/>
        <v>40</v>
      </c>
    </row>
    <row r="63" spans="2:8" ht="13.8">
      <c r="B63" s="75"/>
      <c r="D63" s="1"/>
      <c r="E63" s="1" t="str">
        <f>IF(ISERROR(VLOOKUP(D63,Categorias!A:B,2,0)),"",VLOOKUP(D63,Categorias!A:B,2,0))</f>
        <v/>
      </c>
      <c r="F63" s="80"/>
      <c r="G63" s="5"/>
      <c r="H63" s="73">
        <f t="shared" si="0"/>
        <v>40</v>
      </c>
    </row>
    <row r="64" spans="2:8" ht="13.8">
      <c r="B64" s="75"/>
      <c r="D64" s="1"/>
      <c r="E64" s="1" t="str">
        <f>IF(ISERROR(VLOOKUP(D64,Categorias!A:B,2,0)),"",VLOOKUP(D64,Categorias!A:B,2,0))</f>
        <v/>
      </c>
      <c r="F64" s="80"/>
      <c r="G64" s="5"/>
      <c r="H64" s="73">
        <f t="shared" si="0"/>
        <v>40</v>
      </c>
    </row>
    <row r="65" spans="2:8" ht="13.8">
      <c r="B65" s="75"/>
      <c r="D65" s="1"/>
      <c r="E65" s="1" t="str">
        <f>IF(ISERROR(VLOOKUP(D65,Categorias!A:B,2,0)),"",VLOOKUP(D65,Categorias!A:B,2,0))</f>
        <v/>
      </c>
      <c r="F65" s="80"/>
      <c r="G65" s="5"/>
      <c r="H65" s="73">
        <f t="shared" si="0"/>
        <v>40</v>
      </c>
    </row>
    <row r="66" spans="2:8" ht="13.8">
      <c r="B66" s="75"/>
      <c r="D66" s="1"/>
      <c r="E66" s="1" t="str">
        <f>IF(ISERROR(VLOOKUP(D66,Categorias!A:B,2,0)),"",VLOOKUP(D66,Categorias!A:B,2,0))</f>
        <v/>
      </c>
      <c r="F66" s="80"/>
      <c r="G66" s="5"/>
      <c r="H66" s="73">
        <f t="shared" si="0"/>
        <v>40</v>
      </c>
    </row>
    <row r="67" spans="2:8" ht="13.8">
      <c r="B67" s="75"/>
      <c r="D67" s="1"/>
      <c r="E67" s="1" t="str">
        <f>IF(ISERROR(VLOOKUP(D67,Categorias!A:B,2,0)),"",VLOOKUP(D67,Categorias!A:B,2,0))</f>
        <v/>
      </c>
      <c r="F67" s="80"/>
      <c r="G67" s="5"/>
      <c r="H67" s="73">
        <f t="shared" si="0"/>
        <v>40</v>
      </c>
    </row>
    <row r="68" spans="2:8" ht="13.8">
      <c r="B68" s="75"/>
      <c r="D68" s="1"/>
      <c r="E68" s="1" t="str">
        <f>IF(ISERROR(VLOOKUP(D68,Categorias!A:B,2,0)),"",VLOOKUP(D68,Categorias!A:B,2,0))</f>
        <v/>
      </c>
      <c r="F68" s="80"/>
      <c r="G68" s="5"/>
      <c r="H68" s="73">
        <f t="shared" si="0"/>
        <v>40</v>
      </c>
    </row>
    <row r="69" spans="2:8" ht="13.8">
      <c r="B69" s="75"/>
      <c r="D69" s="1"/>
      <c r="E69" s="1" t="str">
        <f>IF(ISERROR(VLOOKUP(D69,Categorias!A:B,2,0)),"",VLOOKUP(D69,Categorias!A:B,2,0))</f>
        <v/>
      </c>
      <c r="F69" s="80"/>
      <c r="G69" s="5"/>
      <c r="H69" s="73">
        <f t="shared" si="0"/>
        <v>40</v>
      </c>
    </row>
    <row r="70" spans="2:8" ht="13.8">
      <c r="B70" s="75"/>
      <c r="D70" s="1"/>
      <c r="E70" s="1" t="str">
        <f>IF(ISERROR(VLOOKUP(D70,Categorias!A:B,2,0)),"",VLOOKUP(D70,Categorias!A:B,2,0))</f>
        <v/>
      </c>
      <c r="F70" s="80"/>
      <c r="G70" s="5"/>
      <c r="H70" s="73">
        <f t="shared" si="0"/>
        <v>40</v>
      </c>
    </row>
    <row r="71" spans="2:8" ht="13.8">
      <c r="B71" s="75"/>
      <c r="D71" s="1"/>
      <c r="E71" s="1" t="str">
        <f>IF(ISERROR(VLOOKUP(D71,Categorias!A:B,2,0)),"",VLOOKUP(D71,Categorias!A:B,2,0))</f>
        <v/>
      </c>
      <c r="F71" s="80"/>
      <c r="G71" s="5"/>
      <c r="H71" s="73">
        <f t="shared" si="0"/>
        <v>40</v>
      </c>
    </row>
    <row r="72" spans="2:8" ht="13.8">
      <c r="B72" s="75"/>
      <c r="D72" s="1"/>
      <c r="E72" s="1" t="str">
        <f>IF(ISERROR(VLOOKUP(D72,Categorias!A:B,2,0)),"",VLOOKUP(D72,Categorias!A:B,2,0))</f>
        <v/>
      </c>
      <c r="F72" s="80"/>
      <c r="G72" s="5"/>
      <c r="H72" s="73">
        <f t="shared" si="0"/>
        <v>40</v>
      </c>
    </row>
    <row r="73" spans="2:8" ht="13.8">
      <c r="B73" s="75"/>
      <c r="D73" s="1"/>
      <c r="E73" s="1" t="str">
        <f>IF(ISERROR(VLOOKUP(D73,Categorias!A:B,2,0)),"",VLOOKUP(D73,Categorias!A:B,2,0))</f>
        <v/>
      </c>
      <c r="F73" s="80"/>
      <c r="G73" s="5"/>
      <c r="H73" s="73">
        <f t="shared" si="0"/>
        <v>40</v>
      </c>
    </row>
    <row r="74" spans="2:8" ht="13.8">
      <c r="B74" s="75"/>
      <c r="D74" s="1"/>
      <c r="E74" s="1" t="str">
        <f>IF(ISERROR(VLOOKUP(D74,Categorias!A:B,2,0)),"",VLOOKUP(D74,Categorias!A:B,2,0))</f>
        <v/>
      </c>
      <c r="F74" s="80"/>
      <c r="G74" s="5"/>
      <c r="H74" s="73">
        <f t="shared" si="0"/>
        <v>40</v>
      </c>
    </row>
    <row r="75" spans="2:8" ht="13.8">
      <c r="B75" s="75"/>
      <c r="D75" s="1"/>
      <c r="E75" s="1" t="str">
        <f>IF(ISERROR(VLOOKUP(D75,Categorias!A:B,2,0)),"",VLOOKUP(D75,Categorias!A:B,2,0))</f>
        <v/>
      </c>
      <c r="F75" s="80"/>
      <c r="G75" s="5"/>
      <c r="H75" s="73">
        <f t="shared" si="0"/>
        <v>40</v>
      </c>
    </row>
    <row r="76" spans="2:8" ht="13.8">
      <c r="B76" s="75"/>
      <c r="D76" s="1"/>
      <c r="E76" s="1" t="str">
        <f>IF(ISERROR(VLOOKUP(D76,Categorias!A:B,2,0)),"",VLOOKUP(D76,Categorias!A:B,2,0))</f>
        <v/>
      </c>
      <c r="F76" s="80"/>
      <c r="G76" s="5"/>
      <c r="H76" s="73">
        <f t="shared" si="0"/>
        <v>40</v>
      </c>
    </row>
    <row r="77" spans="2:8" ht="13.8">
      <c r="B77" s="75"/>
      <c r="D77" s="1"/>
      <c r="E77" s="1" t="str">
        <f>IF(ISERROR(VLOOKUP(D77,Categorias!A:B,2,0)),"",VLOOKUP(D77,Categorias!A:B,2,0))</f>
        <v/>
      </c>
      <c r="F77" s="80"/>
      <c r="G77" s="5"/>
      <c r="H77" s="73">
        <f t="shared" si="0"/>
        <v>40</v>
      </c>
    </row>
    <row r="78" spans="2:8" ht="13.8">
      <c r="B78" s="75"/>
      <c r="D78" s="1"/>
      <c r="E78" s="1" t="str">
        <f>IF(ISERROR(VLOOKUP(D78,Categorias!A:B,2,0)),"",VLOOKUP(D78,Categorias!A:B,2,0))</f>
        <v/>
      </c>
      <c r="F78" s="80"/>
      <c r="G78" s="5"/>
      <c r="H78" s="73">
        <f t="shared" ref="H78:H141" si="1">H77+F78-G78</f>
        <v>40</v>
      </c>
    </row>
    <row r="79" spans="2:8" ht="13.8">
      <c r="B79" s="75"/>
      <c r="D79" s="1"/>
      <c r="E79" s="1" t="str">
        <f>IF(ISERROR(VLOOKUP(D79,Categorias!A:B,2,0)),"",VLOOKUP(D79,Categorias!A:B,2,0))</f>
        <v/>
      </c>
      <c r="F79" s="80"/>
      <c r="G79" s="5"/>
      <c r="H79" s="73">
        <f t="shared" si="1"/>
        <v>40</v>
      </c>
    </row>
    <row r="80" spans="2:8" ht="13.8">
      <c r="B80" s="75"/>
      <c r="D80" s="1"/>
      <c r="E80" s="1" t="str">
        <f>IF(ISERROR(VLOOKUP(D80,Categorias!A:B,2,0)),"",VLOOKUP(D80,Categorias!A:B,2,0))</f>
        <v/>
      </c>
      <c r="F80" s="80"/>
      <c r="G80" s="5"/>
      <c r="H80" s="73">
        <f t="shared" si="1"/>
        <v>40</v>
      </c>
    </row>
    <row r="81" spans="2:8" ht="13.8">
      <c r="B81" s="75"/>
      <c r="D81" s="1"/>
      <c r="E81" s="1" t="str">
        <f>IF(ISERROR(VLOOKUP(D81,Categorias!A:B,2,0)),"",VLOOKUP(D81,Categorias!A:B,2,0))</f>
        <v/>
      </c>
      <c r="F81" s="80"/>
      <c r="G81" s="5"/>
      <c r="H81" s="73">
        <f t="shared" si="1"/>
        <v>40</v>
      </c>
    </row>
    <row r="82" spans="2:8" ht="13.8">
      <c r="B82" s="75"/>
      <c r="D82" s="1"/>
      <c r="E82" s="1" t="str">
        <f>IF(ISERROR(VLOOKUP(D82,Categorias!A:B,2,0)),"",VLOOKUP(D82,Categorias!A:B,2,0))</f>
        <v/>
      </c>
      <c r="F82" s="80"/>
      <c r="G82" s="5"/>
      <c r="H82" s="73">
        <f t="shared" si="1"/>
        <v>40</v>
      </c>
    </row>
    <row r="83" spans="2:8" ht="13.8">
      <c r="B83" s="75"/>
      <c r="D83" s="1"/>
      <c r="E83" s="1" t="str">
        <f>IF(ISERROR(VLOOKUP(D83,Categorias!A:B,2,0)),"",VLOOKUP(D83,Categorias!A:B,2,0))</f>
        <v/>
      </c>
      <c r="F83" s="80"/>
      <c r="G83" s="5"/>
      <c r="H83" s="73">
        <f t="shared" si="1"/>
        <v>40</v>
      </c>
    </row>
    <row r="84" spans="2:8" ht="13.8">
      <c r="B84" s="75"/>
      <c r="D84" s="1"/>
      <c r="E84" s="1" t="str">
        <f>IF(ISERROR(VLOOKUP(D84,Categorias!A:B,2,0)),"",VLOOKUP(D84,Categorias!A:B,2,0))</f>
        <v/>
      </c>
      <c r="F84" s="80"/>
      <c r="G84" s="5"/>
      <c r="H84" s="73">
        <f t="shared" si="1"/>
        <v>40</v>
      </c>
    </row>
    <row r="85" spans="2:8" ht="13.8">
      <c r="B85" s="75"/>
      <c r="D85" s="1"/>
      <c r="E85" s="1" t="str">
        <f>IF(ISERROR(VLOOKUP(D85,Categorias!A:B,2,0)),"",VLOOKUP(D85,Categorias!A:B,2,0))</f>
        <v/>
      </c>
      <c r="F85" s="80"/>
      <c r="G85" s="5"/>
      <c r="H85" s="73">
        <f t="shared" si="1"/>
        <v>40</v>
      </c>
    </row>
    <row r="86" spans="2:8" ht="13.8">
      <c r="B86" s="91"/>
      <c r="D86" s="1"/>
      <c r="E86" s="1" t="str">
        <f>IF(ISERROR(VLOOKUP(D86,Categorias!A:B,2,0)),"",VLOOKUP(D86,Categorias!A:B,2,0))</f>
        <v/>
      </c>
      <c r="F86" s="80"/>
      <c r="G86" s="5"/>
      <c r="H86" s="73">
        <f t="shared" si="1"/>
        <v>40</v>
      </c>
    </row>
    <row r="87" spans="2:8" ht="13.8">
      <c r="D87" s="1"/>
      <c r="E87" s="1" t="str">
        <f>IF(ISERROR(VLOOKUP(D87,Categorias!A:B,2,0)),"",VLOOKUP(D87,Categorias!A:B,2,0))</f>
        <v/>
      </c>
      <c r="F87" s="80"/>
      <c r="G87" s="5"/>
      <c r="H87" s="73">
        <f t="shared" si="1"/>
        <v>40</v>
      </c>
    </row>
    <row r="88" spans="2:8" ht="13.8">
      <c r="D88" s="1"/>
      <c r="E88" s="1" t="str">
        <f>IF(ISERROR(VLOOKUP(D88,Categorias!A:B,2,0)),"",VLOOKUP(D88,Categorias!A:B,2,0))</f>
        <v/>
      </c>
      <c r="F88" s="80"/>
      <c r="G88" s="5"/>
      <c r="H88" s="73">
        <f t="shared" si="1"/>
        <v>40</v>
      </c>
    </row>
    <row r="89" spans="2:8" ht="13.8">
      <c r="D89" s="1"/>
      <c r="E89" s="1" t="str">
        <f>IF(ISERROR(VLOOKUP(D89,Categorias!A:B,2,0)),"",VLOOKUP(D89,Categorias!A:B,2,0))</f>
        <v/>
      </c>
      <c r="F89" s="80"/>
      <c r="G89" s="5"/>
      <c r="H89" s="73">
        <f t="shared" si="1"/>
        <v>40</v>
      </c>
    </row>
    <row r="90" spans="2:8" ht="13.8">
      <c r="D90" s="1"/>
      <c r="E90" s="1" t="str">
        <f>IF(ISERROR(VLOOKUP(D90,Categorias!A:B,2,0)),"",VLOOKUP(D90,Categorias!A:B,2,0))</f>
        <v/>
      </c>
      <c r="F90" s="80"/>
      <c r="G90" s="5"/>
      <c r="H90" s="73">
        <f t="shared" si="1"/>
        <v>40</v>
      </c>
    </row>
    <row r="91" spans="2:8" ht="13.8">
      <c r="D91" s="1"/>
      <c r="E91" s="1" t="str">
        <f>IF(ISERROR(VLOOKUP(D91,Categorias!A:B,2,0)),"",VLOOKUP(D91,Categorias!A:B,2,0))</f>
        <v/>
      </c>
      <c r="F91" s="80"/>
      <c r="G91" s="5"/>
      <c r="H91" s="73">
        <f t="shared" si="1"/>
        <v>40</v>
      </c>
    </row>
    <row r="92" spans="2:8" ht="13.8">
      <c r="D92" s="1"/>
      <c r="E92" s="1" t="str">
        <f>IF(ISERROR(VLOOKUP(D92,Categorias!A:B,2,0)),"",VLOOKUP(D92,Categorias!A:B,2,0))</f>
        <v/>
      </c>
      <c r="F92" s="80"/>
      <c r="G92" s="5"/>
      <c r="H92" s="73">
        <f t="shared" si="1"/>
        <v>40</v>
      </c>
    </row>
    <row r="93" spans="2:8" ht="13.8">
      <c r="D93" s="1"/>
      <c r="E93" s="1" t="str">
        <f>IF(ISERROR(VLOOKUP(D93,Categorias!A:B,2,0)),"",VLOOKUP(D93,Categorias!A:B,2,0))</f>
        <v/>
      </c>
      <c r="F93" s="80"/>
      <c r="G93" s="5"/>
      <c r="H93" s="73">
        <f t="shared" si="1"/>
        <v>40</v>
      </c>
    </row>
    <row r="94" spans="2:8" ht="13.8">
      <c r="D94" s="1"/>
      <c r="E94" s="1" t="str">
        <f>IF(ISERROR(VLOOKUP(D94,Categorias!A:B,2,0)),"",VLOOKUP(D94,Categorias!A:B,2,0))</f>
        <v/>
      </c>
      <c r="F94" s="80"/>
      <c r="G94" s="5"/>
      <c r="H94" s="73">
        <f t="shared" si="1"/>
        <v>40</v>
      </c>
    </row>
    <row r="95" spans="2:8" ht="13.8">
      <c r="D95" s="1"/>
      <c r="E95" s="1" t="str">
        <f>IF(ISERROR(VLOOKUP(D95,Categorias!A:B,2,0)),"",VLOOKUP(D95,Categorias!A:B,2,0))</f>
        <v/>
      </c>
      <c r="F95" s="80"/>
      <c r="G95" s="5"/>
      <c r="H95" s="73">
        <f t="shared" si="1"/>
        <v>40</v>
      </c>
    </row>
    <row r="96" spans="2:8" ht="13.8">
      <c r="D96" s="1"/>
      <c r="E96" s="1" t="str">
        <f>IF(ISERROR(VLOOKUP(D96,Categorias!A:B,2,0)),"",VLOOKUP(D96,Categorias!A:B,2,0))</f>
        <v/>
      </c>
      <c r="F96" s="80"/>
      <c r="G96" s="5"/>
      <c r="H96" s="73">
        <f t="shared" si="1"/>
        <v>40</v>
      </c>
    </row>
    <row r="97" spans="4:8" ht="13.8">
      <c r="D97" s="1"/>
      <c r="E97" s="1" t="str">
        <f>IF(ISERROR(VLOOKUP(D97,Categorias!A:B,2,0)),"",VLOOKUP(D97,Categorias!A:B,2,0))</f>
        <v/>
      </c>
      <c r="F97" s="80"/>
      <c r="G97" s="5"/>
      <c r="H97" s="73">
        <f t="shared" si="1"/>
        <v>40</v>
      </c>
    </row>
    <row r="98" spans="4:8" ht="13.8">
      <c r="D98" s="1"/>
      <c r="E98" s="1" t="str">
        <f>IF(ISERROR(VLOOKUP(D98,Categorias!A:B,2,0)),"",VLOOKUP(D98,Categorias!A:B,2,0))</f>
        <v/>
      </c>
      <c r="F98" s="80"/>
      <c r="G98" s="5"/>
      <c r="H98" s="73">
        <f t="shared" si="1"/>
        <v>40</v>
      </c>
    </row>
    <row r="99" spans="4:8" ht="13.8">
      <c r="D99" s="1"/>
      <c r="E99" s="1" t="str">
        <f>IF(ISERROR(VLOOKUP(D99,Categorias!A:B,2,0)),"",VLOOKUP(D99,Categorias!A:B,2,0))</f>
        <v/>
      </c>
      <c r="F99" s="80"/>
      <c r="G99" s="5"/>
      <c r="H99" s="73">
        <f t="shared" si="1"/>
        <v>40</v>
      </c>
    </row>
    <row r="100" spans="4:8" ht="13.8">
      <c r="D100" s="1"/>
      <c r="E100" s="1" t="str">
        <f>IF(ISERROR(VLOOKUP(D100,Categorias!A:B,2,0)),"",VLOOKUP(D100,Categorias!A:B,2,0))</f>
        <v/>
      </c>
      <c r="F100" s="80"/>
      <c r="G100" s="5"/>
      <c r="H100" s="73">
        <f t="shared" si="1"/>
        <v>40</v>
      </c>
    </row>
    <row r="101" spans="4:8" ht="13.8">
      <c r="D101" s="1"/>
      <c r="E101" s="1" t="str">
        <f>IF(ISERROR(VLOOKUP(D101,Categorias!A:B,2,0)),"",VLOOKUP(D101,Categorias!A:B,2,0))</f>
        <v/>
      </c>
      <c r="F101" s="80"/>
      <c r="G101" s="5"/>
      <c r="H101" s="73">
        <f t="shared" si="1"/>
        <v>40</v>
      </c>
    </row>
    <row r="102" spans="4:8" ht="13.8">
      <c r="D102" s="1"/>
      <c r="E102" s="1" t="str">
        <f>IF(ISERROR(VLOOKUP(D102,Categorias!A:B,2,0)),"",VLOOKUP(D102,Categorias!A:B,2,0))</f>
        <v/>
      </c>
      <c r="F102" s="80"/>
      <c r="G102" s="5"/>
      <c r="H102" s="73">
        <f t="shared" si="1"/>
        <v>40</v>
      </c>
    </row>
    <row r="103" spans="4:8" ht="13.8">
      <c r="D103" s="1"/>
      <c r="E103" s="1" t="str">
        <f>IF(ISERROR(VLOOKUP(D103,Categorias!A:B,2,0)),"",VLOOKUP(D103,Categorias!A:B,2,0))</f>
        <v/>
      </c>
      <c r="F103" s="80"/>
      <c r="G103" s="5"/>
      <c r="H103" s="73">
        <f t="shared" si="1"/>
        <v>40</v>
      </c>
    </row>
    <row r="104" spans="4:8" ht="13.8">
      <c r="D104" s="1"/>
      <c r="E104" s="1" t="str">
        <f>IF(ISERROR(VLOOKUP(D104,Categorias!A:B,2,0)),"",VLOOKUP(D104,Categorias!A:B,2,0))</f>
        <v/>
      </c>
      <c r="F104" s="80"/>
      <c r="G104" s="5"/>
      <c r="H104" s="73">
        <f t="shared" si="1"/>
        <v>40</v>
      </c>
    </row>
    <row r="105" spans="4:8" ht="13.8">
      <c r="D105" s="1"/>
      <c r="E105" s="1" t="str">
        <f>IF(ISERROR(VLOOKUP(D105,Categorias!A:B,2,0)),"",VLOOKUP(D105,Categorias!A:B,2,0))</f>
        <v/>
      </c>
      <c r="F105" s="80"/>
      <c r="G105" s="5"/>
      <c r="H105" s="73">
        <f t="shared" si="1"/>
        <v>40</v>
      </c>
    </row>
    <row r="106" spans="4:8" ht="13.8">
      <c r="D106" s="1"/>
      <c r="E106" s="1" t="str">
        <f>IF(ISERROR(VLOOKUP(D106,Categorias!A:B,2,0)),"",VLOOKUP(D106,Categorias!A:B,2,0))</f>
        <v/>
      </c>
      <c r="F106" s="80"/>
      <c r="G106" s="5"/>
      <c r="H106" s="73">
        <f t="shared" si="1"/>
        <v>40</v>
      </c>
    </row>
    <row r="107" spans="4:8" ht="13.8">
      <c r="D107" s="1"/>
      <c r="E107" s="1" t="str">
        <f>IF(ISERROR(VLOOKUP(D107,Categorias!A:B,2,0)),"",VLOOKUP(D107,Categorias!A:B,2,0))</f>
        <v/>
      </c>
      <c r="F107" s="80"/>
      <c r="G107" s="5"/>
      <c r="H107" s="73">
        <f t="shared" si="1"/>
        <v>40</v>
      </c>
    </row>
    <row r="108" spans="4:8" ht="13.8">
      <c r="D108" s="1"/>
      <c r="E108" s="1" t="str">
        <f>IF(ISERROR(VLOOKUP(D108,Categorias!A:B,2,0)),"",VLOOKUP(D108,Categorias!A:B,2,0))</f>
        <v/>
      </c>
      <c r="F108" s="80"/>
      <c r="G108" s="5"/>
      <c r="H108" s="73">
        <f t="shared" si="1"/>
        <v>40</v>
      </c>
    </row>
    <row r="109" spans="4:8" ht="13.8">
      <c r="D109" s="1"/>
      <c r="E109" s="1" t="str">
        <f>IF(ISERROR(VLOOKUP(D109,Categorias!A:B,2,0)),"",VLOOKUP(D109,Categorias!A:B,2,0))</f>
        <v/>
      </c>
      <c r="F109" s="80"/>
      <c r="G109" s="5"/>
      <c r="H109" s="73">
        <f t="shared" si="1"/>
        <v>40</v>
      </c>
    </row>
    <row r="110" spans="4:8" ht="13.8">
      <c r="D110" s="1"/>
      <c r="E110" s="1" t="str">
        <f>IF(ISERROR(VLOOKUP(D110,Categorias!A:B,2,0)),"",VLOOKUP(D110,Categorias!A:B,2,0))</f>
        <v/>
      </c>
      <c r="F110" s="80"/>
      <c r="G110" s="5"/>
      <c r="H110" s="73">
        <f t="shared" si="1"/>
        <v>40</v>
      </c>
    </row>
    <row r="111" spans="4:8" ht="13.8">
      <c r="D111" s="1"/>
      <c r="E111" s="1" t="str">
        <f>IF(ISERROR(VLOOKUP(D111,Categorias!A:B,2,0)),"",VLOOKUP(D111,Categorias!A:B,2,0))</f>
        <v/>
      </c>
      <c r="F111" s="80"/>
      <c r="G111" s="5"/>
      <c r="H111" s="73">
        <f t="shared" si="1"/>
        <v>40</v>
      </c>
    </row>
    <row r="112" spans="4:8" ht="13.8">
      <c r="D112" s="1"/>
      <c r="E112" s="1" t="str">
        <f>IF(ISERROR(VLOOKUP(D112,Categorias!A:B,2,0)),"",VLOOKUP(D112,Categorias!A:B,2,0))</f>
        <v/>
      </c>
      <c r="F112" s="80"/>
      <c r="G112" s="5"/>
      <c r="H112" s="73">
        <f t="shared" si="1"/>
        <v>40</v>
      </c>
    </row>
    <row r="113" spans="4:8" ht="13.8">
      <c r="D113" s="1"/>
      <c r="E113" s="1" t="str">
        <f>IF(ISERROR(VLOOKUP(D113,Categorias!A:B,2,0)),"",VLOOKUP(D113,Categorias!A:B,2,0))</f>
        <v/>
      </c>
      <c r="F113" s="80"/>
      <c r="G113" s="5"/>
      <c r="H113" s="73">
        <f t="shared" si="1"/>
        <v>40</v>
      </c>
    </row>
    <row r="114" spans="4:8" ht="13.8">
      <c r="D114" s="1"/>
      <c r="E114" s="1" t="str">
        <f>IF(ISERROR(VLOOKUP(D114,Categorias!A:B,2,0)),"",VLOOKUP(D114,Categorias!A:B,2,0))</f>
        <v/>
      </c>
      <c r="F114" s="80"/>
      <c r="G114" s="5"/>
      <c r="H114" s="73">
        <f t="shared" si="1"/>
        <v>40</v>
      </c>
    </row>
    <row r="115" spans="4:8" ht="13.8">
      <c r="D115" s="1"/>
      <c r="E115" s="1" t="str">
        <f>IF(ISERROR(VLOOKUP(D115,Categorias!A:B,2,0)),"",VLOOKUP(D115,Categorias!A:B,2,0))</f>
        <v/>
      </c>
      <c r="F115" s="80"/>
      <c r="G115" s="5"/>
      <c r="H115" s="73">
        <f t="shared" si="1"/>
        <v>40</v>
      </c>
    </row>
    <row r="116" spans="4:8" ht="13.8">
      <c r="D116" s="1"/>
      <c r="E116" s="1" t="str">
        <f>IF(ISERROR(VLOOKUP(D116,Categorias!A:B,2,0)),"",VLOOKUP(D116,Categorias!A:B,2,0))</f>
        <v/>
      </c>
      <c r="F116" s="80"/>
      <c r="G116" s="5"/>
      <c r="H116" s="73">
        <f t="shared" si="1"/>
        <v>40</v>
      </c>
    </row>
    <row r="117" spans="4:8" ht="13.8">
      <c r="D117" s="1"/>
      <c r="E117" s="1" t="str">
        <f>IF(ISERROR(VLOOKUP(D117,Categorias!A:B,2,0)),"",VLOOKUP(D117,Categorias!A:B,2,0))</f>
        <v/>
      </c>
      <c r="F117" s="80"/>
      <c r="G117" s="5"/>
      <c r="H117" s="73">
        <f t="shared" si="1"/>
        <v>40</v>
      </c>
    </row>
    <row r="118" spans="4:8" ht="13.8">
      <c r="D118" s="1"/>
      <c r="E118" s="1" t="str">
        <f>IF(ISERROR(VLOOKUP(D118,Categorias!A:B,2,0)),"",VLOOKUP(D118,Categorias!A:B,2,0))</f>
        <v/>
      </c>
      <c r="F118" s="80"/>
      <c r="G118" s="5"/>
      <c r="H118" s="73">
        <f t="shared" si="1"/>
        <v>40</v>
      </c>
    </row>
    <row r="119" spans="4:8" ht="13.8">
      <c r="D119" s="1"/>
      <c r="E119" s="1" t="str">
        <f>IF(ISERROR(VLOOKUP(D119,Categorias!A:B,2,0)),"",VLOOKUP(D119,Categorias!A:B,2,0))</f>
        <v/>
      </c>
      <c r="F119" s="80"/>
      <c r="G119" s="5"/>
      <c r="H119" s="73">
        <f t="shared" si="1"/>
        <v>40</v>
      </c>
    </row>
    <row r="120" spans="4:8" ht="13.8">
      <c r="D120" s="1"/>
      <c r="E120" s="1" t="str">
        <f>IF(ISERROR(VLOOKUP(D120,Categorias!A:B,2,0)),"",VLOOKUP(D120,Categorias!A:B,2,0))</f>
        <v/>
      </c>
      <c r="F120" s="80"/>
      <c r="G120" s="5"/>
      <c r="H120" s="73">
        <f t="shared" si="1"/>
        <v>40</v>
      </c>
    </row>
    <row r="121" spans="4:8" ht="13.8">
      <c r="D121" s="1"/>
      <c r="E121" s="1" t="str">
        <f>IF(ISERROR(VLOOKUP(D121,Categorias!A:B,2,0)),"",VLOOKUP(D121,Categorias!A:B,2,0))</f>
        <v/>
      </c>
      <c r="F121" s="80"/>
      <c r="G121" s="5"/>
      <c r="H121" s="73">
        <f t="shared" si="1"/>
        <v>40</v>
      </c>
    </row>
    <row r="122" spans="4:8" ht="13.8">
      <c r="D122" s="1"/>
      <c r="E122" s="1" t="str">
        <f>IF(ISERROR(VLOOKUP(D122,Categorias!A:B,2,0)),"",VLOOKUP(D122,Categorias!A:B,2,0))</f>
        <v/>
      </c>
      <c r="F122" s="80"/>
      <c r="G122" s="5"/>
      <c r="H122" s="73">
        <f t="shared" si="1"/>
        <v>40</v>
      </c>
    </row>
    <row r="123" spans="4:8" ht="13.8">
      <c r="D123" s="1"/>
      <c r="E123" s="1" t="str">
        <f>IF(ISERROR(VLOOKUP(D123,Categorias!A:B,2,0)),"",VLOOKUP(D123,Categorias!A:B,2,0))</f>
        <v/>
      </c>
      <c r="F123" s="80"/>
      <c r="G123" s="5"/>
      <c r="H123" s="73">
        <f t="shared" si="1"/>
        <v>40</v>
      </c>
    </row>
    <row r="124" spans="4:8" ht="13.8">
      <c r="D124" s="1"/>
      <c r="E124" s="1" t="str">
        <f>IF(ISERROR(VLOOKUP(D124,Categorias!A:B,2,0)),"",VLOOKUP(D124,Categorias!A:B,2,0))</f>
        <v/>
      </c>
      <c r="F124" s="80"/>
      <c r="G124" s="5"/>
      <c r="H124" s="73">
        <f t="shared" si="1"/>
        <v>40</v>
      </c>
    </row>
    <row r="125" spans="4:8" ht="13.8">
      <c r="D125" s="1"/>
      <c r="E125" s="1" t="str">
        <f>IF(ISERROR(VLOOKUP(D125,Categorias!A:B,2,0)),"",VLOOKUP(D125,Categorias!A:B,2,0))</f>
        <v/>
      </c>
      <c r="F125" s="80"/>
      <c r="G125" s="5"/>
      <c r="H125" s="73">
        <f t="shared" si="1"/>
        <v>40</v>
      </c>
    </row>
    <row r="126" spans="4:8" ht="13.8">
      <c r="D126" s="1"/>
      <c r="E126" s="1" t="str">
        <f>IF(ISERROR(VLOOKUP(D126,Categorias!A:B,2,0)),"",VLOOKUP(D126,Categorias!A:B,2,0))</f>
        <v/>
      </c>
      <c r="F126" s="80"/>
      <c r="G126" s="5"/>
      <c r="H126" s="73">
        <f t="shared" si="1"/>
        <v>40</v>
      </c>
    </row>
    <row r="127" spans="4:8" ht="13.8">
      <c r="D127" s="1"/>
      <c r="E127" s="1" t="str">
        <f>IF(ISERROR(VLOOKUP(D127,Categorias!A:B,2,0)),"",VLOOKUP(D127,Categorias!A:B,2,0))</f>
        <v/>
      </c>
      <c r="F127" s="80"/>
      <c r="G127" s="5"/>
      <c r="H127" s="73">
        <f t="shared" si="1"/>
        <v>40</v>
      </c>
    </row>
    <row r="128" spans="4:8" ht="13.8">
      <c r="D128" s="1"/>
      <c r="E128" s="1" t="str">
        <f>IF(ISERROR(VLOOKUP(D128,Categorias!A:B,2,0)),"",VLOOKUP(D128,Categorias!A:B,2,0))</f>
        <v/>
      </c>
      <c r="F128" s="80"/>
      <c r="G128" s="5"/>
      <c r="H128" s="73">
        <f t="shared" si="1"/>
        <v>40</v>
      </c>
    </row>
    <row r="129" spans="4:8" ht="13.8">
      <c r="D129" s="1"/>
      <c r="E129" s="1" t="str">
        <f>IF(ISERROR(VLOOKUP(D129,Categorias!A:B,2,0)),"",VLOOKUP(D129,Categorias!A:B,2,0))</f>
        <v/>
      </c>
      <c r="F129" s="80"/>
      <c r="G129" s="5"/>
      <c r="H129" s="73">
        <f t="shared" si="1"/>
        <v>40</v>
      </c>
    </row>
    <row r="130" spans="4:8" ht="13.8">
      <c r="D130" s="1"/>
      <c r="E130" s="1" t="str">
        <f>IF(ISERROR(VLOOKUP(D130,Categorias!A:B,2,0)),"",VLOOKUP(D130,Categorias!A:B,2,0))</f>
        <v/>
      </c>
      <c r="F130" s="80"/>
      <c r="G130" s="5"/>
      <c r="H130" s="73">
        <f t="shared" si="1"/>
        <v>40</v>
      </c>
    </row>
    <row r="131" spans="4:8" ht="13.8">
      <c r="D131" s="1"/>
      <c r="E131" s="1" t="str">
        <f>IF(ISERROR(VLOOKUP(D131,Categorias!A:B,2,0)),"",VLOOKUP(D131,Categorias!A:B,2,0))</f>
        <v/>
      </c>
      <c r="F131" s="80"/>
      <c r="G131" s="5"/>
      <c r="H131" s="73">
        <f t="shared" si="1"/>
        <v>40</v>
      </c>
    </row>
    <row r="132" spans="4:8" ht="13.8">
      <c r="D132" s="1"/>
      <c r="E132" s="1" t="str">
        <f>IF(ISERROR(VLOOKUP(D132,Categorias!A:B,2,0)),"",VLOOKUP(D132,Categorias!A:B,2,0))</f>
        <v/>
      </c>
      <c r="F132" s="80"/>
      <c r="G132" s="5"/>
      <c r="H132" s="73">
        <f t="shared" si="1"/>
        <v>40</v>
      </c>
    </row>
    <row r="133" spans="4:8" ht="13.8">
      <c r="D133" s="1"/>
      <c r="E133" s="1" t="str">
        <f>IF(ISERROR(VLOOKUP(D133,Categorias!A:B,2,0)),"",VLOOKUP(D133,Categorias!A:B,2,0))</f>
        <v/>
      </c>
      <c r="F133" s="80"/>
      <c r="G133" s="5"/>
      <c r="H133" s="73">
        <f t="shared" si="1"/>
        <v>40</v>
      </c>
    </row>
    <row r="134" spans="4:8" ht="13.8">
      <c r="D134" s="1"/>
      <c r="E134" s="1" t="str">
        <f>IF(ISERROR(VLOOKUP(D134,Categorias!A:B,2,0)),"",VLOOKUP(D134,Categorias!A:B,2,0))</f>
        <v/>
      </c>
      <c r="F134" s="80"/>
      <c r="G134" s="5"/>
      <c r="H134" s="73">
        <f t="shared" si="1"/>
        <v>40</v>
      </c>
    </row>
    <row r="135" spans="4:8" ht="13.8">
      <c r="D135" s="1"/>
      <c r="E135" s="1" t="str">
        <f>IF(ISERROR(VLOOKUP(D135,Categorias!A:B,2,0)),"",VLOOKUP(D135,Categorias!A:B,2,0))</f>
        <v/>
      </c>
      <c r="F135" s="80"/>
      <c r="G135" s="5"/>
      <c r="H135" s="73">
        <f t="shared" si="1"/>
        <v>40</v>
      </c>
    </row>
    <row r="136" spans="4:8" ht="13.8">
      <c r="D136" s="1"/>
      <c r="E136" s="1" t="str">
        <f>IF(ISERROR(VLOOKUP(D136,Categorias!A:B,2,0)),"",VLOOKUP(D136,Categorias!A:B,2,0))</f>
        <v/>
      </c>
      <c r="F136" s="80"/>
      <c r="G136" s="5"/>
      <c r="H136" s="73">
        <f t="shared" si="1"/>
        <v>40</v>
      </c>
    </row>
    <row r="137" spans="4:8" ht="13.8">
      <c r="D137" s="1"/>
      <c r="E137" s="1" t="str">
        <f>IF(ISERROR(VLOOKUP(D137,Categorias!A:B,2,0)),"",VLOOKUP(D137,Categorias!A:B,2,0))</f>
        <v/>
      </c>
      <c r="F137" s="80"/>
      <c r="G137" s="5"/>
      <c r="H137" s="73">
        <f t="shared" si="1"/>
        <v>40</v>
      </c>
    </row>
    <row r="138" spans="4:8" ht="13.8">
      <c r="D138" s="1"/>
      <c r="E138" s="1" t="str">
        <f>IF(ISERROR(VLOOKUP(D138,Categorias!A:B,2,0)),"",VLOOKUP(D138,Categorias!A:B,2,0))</f>
        <v/>
      </c>
      <c r="F138" s="80"/>
      <c r="G138" s="5"/>
      <c r="H138" s="73">
        <f t="shared" si="1"/>
        <v>40</v>
      </c>
    </row>
    <row r="139" spans="4:8" ht="13.8">
      <c r="D139" s="1"/>
      <c r="E139" s="1" t="str">
        <f>IF(ISERROR(VLOOKUP(D139,Categorias!A:B,2,0)),"",VLOOKUP(D139,Categorias!A:B,2,0))</f>
        <v/>
      </c>
      <c r="F139" s="80"/>
      <c r="G139" s="5"/>
      <c r="H139" s="73">
        <f t="shared" si="1"/>
        <v>40</v>
      </c>
    </row>
    <row r="140" spans="4:8" ht="13.8">
      <c r="D140" s="1"/>
      <c r="E140" s="1" t="str">
        <f>IF(ISERROR(VLOOKUP(D140,Categorias!A:B,2,0)),"",VLOOKUP(D140,Categorias!A:B,2,0))</f>
        <v/>
      </c>
      <c r="F140" s="80"/>
      <c r="G140" s="5"/>
      <c r="H140" s="73">
        <f t="shared" si="1"/>
        <v>40</v>
      </c>
    </row>
    <row r="141" spans="4:8" ht="13.8">
      <c r="D141" s="1"/>
      <c r="E141" s="1" t="str">
        <f>IF(ISERROR(VLOOKUP(D141,Categorias!A:B,2,0)),"",VLOOKUP(D141,Categorias!A:B,2,0))</f>
        <v/>
      </c>
      <c r="F141" s="80"/>
      <c r="G141" s="5"/>
      <c r="H141" s="73">
        <f t="shared" si="1"/>
        <v>40</v>
      </c>
    </row>
    <row r="142" spans="4:8" ht="13.8">
      <c r="D142" s="1"/>
      <c r="E142" s="1" t="str">
        <f>IF(ISERROR(VLOOKUP(D142,Categorias!A:B,2,0)),"",VLOOKUP(D142,Categorias!A:B,2,0))</f>
        <v/>
      </c>
      <c r="F142" s="80"/>
      <c r="G142" s="5"/>
      <c r="H142" s="73">
        <f t="shared" ref="H142:H205" si="2">H141+F142-G142</f>
        <v>40</v>
      </c>
    </row>
    <row r="143" spans="4:8" ht="13.8">
      <c r="D143" s="1"/>
      <c r="E143" s="1" t="str">
        <f>IF(ISERROR(VLOOKUP(D143,Categorias!A:B,2,0)),"",VLOOKUP(D143,Categorias!A:B,2,0))</f>
        <v/>
      </c>
      <c r="F143" s="80"/>
      <c r="G143" s="5"/>
      <c r="H143" s="73">
        <f t="shared" si="2"/>
        <v>40</v>
      </c>
    </row>
    <row r="144" spans="4:8" ht="13.8">
      <c r="D144" s="1"/>
      <c r="E144" s="1" t="str">
        <f>IF(ISERROR(VLOOKUP(D144,Categorias!A:B,2,0)),"",VLOOKUP(D144,Categorias!A:B,2,0))</f>
        <v/>
      </c>
      <c r="F144" s="80"/>
      <c r="G144" s="5"/>
      <c r="H144" s="73">
        <f t="shared" si="2"/>
        <v>40</v>
      </c>
    </row>
    <row r="145" spans="4:8" ht="13.8">
      <c r="D145" s="1"/>
      <c r="E145" s="1" t="str">
        <f>IF(ISERROR(VLOOKUP(D145,Categorias!A:B,2,0)),"",VLOOKUP(D145,Categorias!A:B,2,0))</f>
        <v/>
      </c>
      <c r="F145" s="80"/>
      <c r="G145" s="5"/>
      <c r="H145" s="73">
        <f t="shared" si="2"/>
        <v>40</v>
      </c>
    </row>
    <row r="146" spans="4:8" ht="13.8">
      <c r="D146" s="1"/>
      <c r="E146" s="1" t="str">
        <f>IF(ISERROR(VLOOKUP(D146,Categorias!A:B,2,0)),"",VLOOKUP(D146,Categorias!A:B,2,0))</f>
        <v/>
      </c>
      <c r="F146" s="80"/>
      <c r="G146" s="5"/>
      <c r="H146" s="73">
        <f t="shared" si="2"/>
        <v>40</v>
      </c>
    </row>
    <row r="147" spans="4:8" ht="13.8">
      <c r="D147" s="1"/>
      <c r="E147" s="1" t="str">
        <f>IF(ISERROR(VLOOKUP(D147,Categorias!A:B,2,0)),"",VLOOKUP(D147,Categorias!A:B,2,0))</f>
        <v/>
      </c>
      <c r="F147" s="80"/>
      <c r="G147" s="5"/>
      <c r="H147" s="73">
        <f t="shared" si="2"/>
        <v>40</v>
      </c>
    </row>
    <row r="148" spans="4:8" ht="13.8">
      <c r="D148" s="1"/>
      <c r="E148" s="1" t="str">
        <f>IF(ISERROR(VLOOKUP(D148,Categorias!A:B,2,0)),"",VLOOKUP(D148,Categorias!A:B,2,0))</f>
        <v/>
      </c>
      <c r="F148" s="80"/>
      <c r="G148" s="5"/>
      <c r="H148" s="73">
        <f t="shared" si="2"/>
        <v>40</v>
      </c>
    </row>
    <row r="149" spans="4:8" ht="13.8">
      <c r="D149" s="1"/>
      <c r="E149" s="1" t="str">
        <f>IF(ISERROR(VLOOKUP(D149,Categorias!A:B,2,0)),"",VLOOKUP(D149,Categorias!A:B,2,0))</f>
        <v/>
      </c>
      <c r="F149" s="80"/>
      <c r="G149" s="5"/>
      <c r="H149" s="73">
        <f t="shared" si="2"/>
        <v>40</v>
      </c>
    </row>
    <row r="150" spans="4:8" ht="13.8">
      <c r="D150" s="1"/>
      <c r="E150" s="1" t="str">
        <f>IF(ISERROR(VLOOKUP(D150,Categorias!A:B,2,0)),"",VLOOKUP(D150,Categorias!A:B,2,0))</f>
        <v/>
      </c>
      <c r="F150" s="80"/>
      <c r="G150" s="5"/>
      <c r="H150" s="73">
        <f t="shared" si="2"/>
        <v>40</v>
      </c>
    </row>
    <row r="151" spans="4:8" ht="13.8">
      <c r="D151" s="1"/>
      <c r="E151" s="1" t="str">
        <f>IF(ISERROR(VLOOKUP(D151,Categorias!A:B,2,0)),"",VLOOKUP(D151,Categorias!A:B,2,0))</f>
        <v/>
      </c>
      <c r="F151" s="80"/>
      <c r="G151" s="5"/>
      <c r="H151" s="73">
        <f t="shared" si="2"/>
        <v>40</v>
      </c>
    </row>
    <row r="152" spans="4:8" ht="13.8">
      <c r="D152" s="1"/>
      <c r="E152" s="1" t="str">
        <f>IF(ISERROR(VLOOKUP(D152,Categorias!A:B,2,0)),"",VLOOKUP(D152,Categorias!A:B,2,0))</f>
        <v/>
      </c>
      <c r="F152" s="80"/>
      <c r="G152" s="5"/>
      <c r="H152" s="73">
        <f t="shared" si="2"/>
        <v>40</v>
      </c>
    </row>
    <row r="153" spans="4:8" ht="13.8">
      <c r="D153" s="1"/>
      <c r="E153" s="1" t="str">
        <f>IF(ISERROR(VLOOKUP(D153,Categorias!A:B,2,0)),"",VLOOKUP(D153,Categorias!A:B,2,0))</f>
        <v/>
      </c>
      <c r="F153" s="80"/>
      <c r="G153" s="5"/>
      <c r="H153" s="73">
        <f t="shared" si="2"/>
        <v>40</v>
      </c>
    </row>
    <row r="154" spans="4:8" ht="13.8">
      <c r="D154" s="1"/>
      <c r="E154" s="1" t="str">
        <f>IF(ISERROR(VLOOKUP(D154,Categorias!A:B,2,0)),"",VLOOKUP(D154,Categorias!A:B,2,0))</f>
        <v/>
      </c>
      <c r="F154" s="80"/>
      <c r="G154" s="5"/>
      <c r="H154" s="73">
        <f t="shared" si="2"/>
        <v>40</v>
      </c>
    </row>
    <row r="155" spans="4:8" ht="13.8">
      <c r="D155" s="1"/>
      <c r="E155" s="1" t="str">
        <f>IF(ISERROR(VLOOKUP(D155,Categorias!A:B,2,0)),"",VLOOKUP(D155,Categorias!A:B,2,0))</f>
        <v/>
      </c>
      <c r="F155" s="80"/>
      <c r="G155" s="5"/>
      <c r="H155" s="73">
        <f t="shared" si="2"/>
        <v>40</v>
      </c>
    </row>
    <row r="156" spans="4:8" ht="13.8">
      <c r="D156" s="1"/>
      <c r="E156" s="1" t="str">
        <f>IF(ISERROR(VLOOKUP(D156,Categorias!A:B,2,0)),"",VLOOKUP(D156,Categorias!A:B,2,0))</f>
        <v/>
      </c>
      <c r="F156" s="80"/>
      <c r="G156" s="5"/>
      <c r="H156" s="73">
        <f t="shared" si="2"/>
        <v>40</v>
      </c>
    </row>
    <row r="157" spans="4:8" ht="13.8">
      <c r="D157" s="1"/>
      <c r="E157" s="1" t="str">
        <f>IF(ISERROR(VLOOKUP(D157,Categorias!A:B,2,0)),"",VLOOKUP(D157,Categorias!A:B,2,0))</f>
        <v/>
      </c>
      <c r="F157" s="80"/>
      <c r="G157" s="5"/>
      <c r="H157" s="73">
        <f t="shared" si="2"/>
        <v>40</v>
      </c>
    </row>
    <row r="158" spans="4:8" ht="13.8">
      <c r="D158" s="1"/>
      <c r="E158" s="1" t="str">
        <f>IF(ISERROR(VLOOKUP(D158,Categorias!A:B,2,0)),"",VLOOKUP(D158,Categorias!A:B,2,0))</f>
        <v/>
      </c>
      <c r="F158" s="80"/>
      <c r="G158" s="5"/>
      <c r="H158" s="73">
        <f t="shared" si="2"/>
        <v>40</v>
      </c>
    </row>
    <row r="159" spans="4:8" ht="13.8">
      <c r="D159" s="1"/>
      <c r="E159" s="1" t="str">
        <f>IF(ISERROR(VLOOKUP(D159,Categorias!A:B,2,0)),"",VLOOKUP(D159,Categorias!A:B,2,0))</f>
        <v/>
      </c>
      <c r="F159" s="80"/>
      <c r="G159" s="5"/>
      <c r="H159" s="73">
        <f t="shared" si="2"/>
        <v>40</v>
      </c>
    </row>
    <row r="160" spans="4:8" ht="13.8">
      <c r="D160" s="1"/>
      <c r="E160" s="1" t="str">
        <f>IF(ISERROR(VLOOKUP(D160,Categorias!A:B,2,0)),"",VLOOKUP(D160,Categorias!A:B,2,0))</f>
        <v/>
      </c>
      <c r="F160" s="80"/>
      <c r="G160" s="5"/>
      <c r="H160" s="73">
        <f t="shared" si="2"/>
        <v>40</v>
      </c>
    </row>
    <row r="161" spans="4:8" ht="13.8">
      <c r="D161" s="1"/>
      <c r="E161" s="1" t="str">
        <f>IF(ISERROR(VLOOKUP(D161,Categorias!A:B,2,0)),"",VLOOKUP(D161,Categorias!A:B,2,0))</f>
        <v/>
      </c>
      <c r="F161" s="80"/>
      <c r="G161" s="5"/>
      <c r="H161" s="73">
        <f t="shared" si="2"/>
        <v>40</v>
      </c>
    </row>
    <row r="162" spans="4:8" ht="13.8">
      <c r="D162" s="1"/>
      <c r="E162" s="1" t="str">
        <f>IF(ISERROR(VLOOKUP(D162,Categorias!A:B,2,0)),"",VLOOKUP(D162,Categorias!A:B,2,0))</f>
        <v/>
      </c>
      <c r="F162" s="80"/>
      <c r="G162" s="5"/>
      <c r="H162" s="73">
        <f t="shared" si="2"/>
        <v>40</v>
      </c>
    </row>
    <row r="163" spans="4:8" ht="13.8">
      <c r="D163" s="1"/>
      <c r="E163" s="1" t="str">
        <f>IF(ISERROR(VLOOKUP(D163,Categorias!A:B,2,0)),"",VLOOKUP(D163,Categorias!A:B,2,0))</f>
        <v/>
      </c>
      <c r="F163" s="80"/>
      <c r="G163" s="5"/>
      <c r="H163" s="73">
        <f t="shared" si="2"/>
        <v>40</v>
      </c>
    </row>
    <row r="164" spans="4:8" ht="13.8">
      <c r="D164" s="1"/>
      <c r="E164" s="1" t="str">
        <f>IF(ISERROR(VLOOKUP(D164,Categorias!A:B,2,0)),"",VLOOKUP(D164,Categorias!A:B,2,0))</f>
        <v/>
      </c>
      <c r="F164" s="80"/>
      <c r="G164" s="5"/>
      <c r="H164" s="73">
        <f t="shared" si="2"/>
        <v>40</v>
      </c>
    </row>
    <row r="165" spans="4:8" ht="13.8">
      <c r="D165" s="1"/>
      <c r="E165" s="1" t="str">
        <f>IF(ISERROR(VLOOKUP(D165,Categorias!A:B,2,0)),"",VLOOKUP(D165,Categorias!A:B,2,0))</f>
        <v/>
      </c>
      <c r="F165" s="80"/>
      <c r="G165" s="5"/>
      <c r="H165" s="73">
        <f t="shared" si="2"/>
        <v>40</v>
      </c>
    </row>
    <row r="166" spans="4:8" ht="13.8">
      <c r="D166" s="1"/>
      <c r="E166" s="1" t="str">
        <f>IF(ISERROR(VLOOKUP(D166,Categorias!A:B,2,0)),"",VLOOKUP(D166,Categorias!A:B,2,0))</f>
        <v/>
      </c>
      <c r="F166" s="80"/>
      <c r="G166" s="5"/>
      <c r="H166" s="73">
        <f t="shared" si="2"/>
        <v>40</v>
      </c>
    </row>
    <row r="167" spans="4:8" ht="13.8">
      <c r="D167" s="1"/>
      <c r="E167" s="1" t="str">
        <f>IF(ISERROR(VLOOKUP(D167,Categorias!A:B,2,0)),"",VLOOKUP(D167,Categorias!A:B,2,0))</f>
        <v/>
      </c>
      <c r="F167" s="80"/>
      <c r="G167" s="5"/>
      <c r="H167" s="73">
        <f t="shared" si="2"/>
        <v>40</v>
      </c>
    </row>
    <row r="168" spans="4:8" ht="13.8">
      <c r="D168" s="1"/>
      <c r="E168" s="1" t="str">
        <f>IF(ISERROR(VLOOKUP(D168,Categorias!A:B,2,0)),"",VLOOKUP(D168,Categorias!A:B,2,0))</f>
        <v/>
      </c>
      <c r="F168" s="80"/>
      <c r="G168" s="5"/>
      <c r="H168" s="73">
        <f t="shared" si="2"/>
        <v>40</v>
      </c>
    </row>
    <row r="169" spans="4:8" ht="13.8">
      <c r="D169" s="1"/>
      <c r="E169" s="1" t="str">
        <f>IF(ISERROR(VLOOKUP(D169,Categorias!A:B,2,0)),"",VLOOKUP(D169,Categorias!A:B,2,0))</f>
        <v/>
      </c>
      <c r="F169" s="80"/>
      <c r="G169" s="5"/>
      <c r="H169" s="73">
        <f t="shared" si="2"/>
        <v>40</v>
      </c>
    </row>
    <row r="170" spans="4:8" ht="13.8">
      <c r="D170" s="1"/>
      <c r="E170" s="1" t="str">
        <f>IF(ISERROR(VLOOKUP(D170,Categorias!A:B,2,0)),"",VLOOKUP(D170,Categorias!A:B,2,0))</f>
        <v/>
      </c>
      <c r="F170" s="80"/>
      <c r="G170" s="5"/>
      <c r="H170" s="73">
        <f t="shared" si="2"/>
        <v>40</v>
      </c>
    </row>
    <row r="171" spans="4:8" ht="13.8">
      <c r="D171" s="1"/>
      <c r="E171" s="1" t="str">
        <f>IF(ISERROR(VLOOKUP(D171,Categorias!A:B,2,0)),"",VLOOKUP(D171,Categorias!A:B,2,0))</f>
        <v/>
      </c>
      <c r="F171" s="80"/>
      <c r="G171" s="5"/>
      <c r="H171" s="73">
        <f t="shared" si="2"/>
        <v>40</v>
      </c>
    </row>
    <row r="172" spans="4:8" ht="13.8">
      <c r="D172" s="1"/>
      <c r="E172" s="1" t="str">
        <f>IF(ISERROR(VLOOKUP(D172,Categorias!A:B,2,0)),"",VLOOKUP(D172,Categorias!A:B,2,0))</f>
        <v/>
      </c>
      <c r="F172" s="80"/>
      <c r="G172" s="5"/>
      <c r="H172" s="73">
        <f t="shared" si="2"/>
        <v>40</v>
      </c>
    </row>
    <row r="173" spans="4:8" ht="13.8">
      <c r="D173" s="1"/>
      <c r="E173" s="1" t="str">
        <f>IF(ISERROR(VLOOKUP(D173,Categorias!A:B,2,0)),"",VLOOKUP(D173,Categorias!A:B,2,0))</f>
        <v/>
      </c>
      <c r="F173" s="80"/>
      <c r="G173" s="5"/>
      <c r="H173" s="73">
        <f t="shared" si="2"/>
        <v>40</v>
      </c>
    </row>
    <row r="174" spans="4:8" ht="13.8">
      <c r="D174" s="1"/>
      <c r="E174" s="1" t="str">
        <f>IF(ISERROR(VLOOKUP(D174,Categorias!A:B,2,0)),"",VLOOKUP(D174,Categorias!A:B,2,0))</f>
        <v/>
      </c>
      <c r="F174" s="80"/>
      <c r="G174" s="5"/>
      <c r="H174" s="73">
        <f t="shared" si="2"/>
        <v>40</v>
      </c>
    </row>
    <row r="175" spans="4:8" ht="13.8">
      <c r="D175" s="1"/>
      <c r="E175" s="1" t="str">
        <f>IF(ISERROR(VLOOKUP(D175,Categorias!A:B,2,0)),"",VLOOKUP(D175,Categorias!A:B,2,0))</f>
        <v/>
      </c>
      <c r="F175" s="80"/>
      <c r="G175" s="5"/>
      <c r="H175" s="73">
        <f t="shared" si="2"/>
        <v>40</v>
      </c>
    </row>
    <row r="176" spans="4:8" ht="13.8">
      <c r="D176" s="1"/>
      <c r="E176" s="1" t="str">
        <f>IF(ISERROR(VLOOKUP(D176,Categorias!A:B,2,0)),"",VLOOKUP(D176,Categorias!A:B,2,0))</f>
        <v/>
      </c>
      <c r="F176" s="80"/>
      <c r="G176" s="5"/>
      <c r="H176" s="73">
        <f t="shared" si="2"/>
        <v>40</v>
      </c>
    </row>
    <row r="177" spans="4:8" ht="13.8">
      <c r="D177" s="1"/>
      <c r="E177" s="1" t="str">
        <f>IF(ISERROR(VLOOKUP(D177,Categorias!A:B,2,0)),"",VLOOKUP(D177,Categorias!A:B,2,0))</f>
        <v/>
      </c>
      <c r="F177" s="80"/>
      <c r="G177" s="5"/>
      <c r="H177" s="73">
        <f t="shared" si="2"/>
        <v>40</v>
      </c>
    </row>
    <row r="178" spans="4:8" ht="13.8">
      <c r="D178" s="1"/>
      <c r="E178" s="1" t="str">
        <f>IF(ISERROR(VLOOKUP(D178,Categorias!A:B,2,0)),"",VLOOKUP(D178,Categorias!A:B,2,0))</f>
        <v/>
      </c>
      <c r="F178" s="80"/>
      <c r="G178" s="5"/>
      <c r="H178" s="73">
        <f t="shared" si="2"/>
        <v>40</v>
      </c>
    </row>
    <row r="179" spans="4:8" ht="13.8">
      <c r="D179" s="1"/>
      <c r="E179" s="1" t="str">
        <f>IF(ISERROR(VLOOKUP(D179,Categorias!A:B,2,0)),"",VLOOKUP(D179,Categorias!A:B,2,0))</f>
        <v/>
      </c>
      <c r="F179" s="80"/>
      <c r="G179" s="5"/>
      <c r="H179" s="73">
        <f t="shared" si="2"/>
        <v>40</v>
      </c>
    </row>
    <row r="180" spans="4:8" ht="13.8">
      <c r="D180" s="1"/>
      <c r="E180" s="1" t="str">
        <f>IF(ISERROR(VLOOKUP(D180,Categorias!A:B,2,0)),"",VLOOKUP(D180,Categorias!A:B,2,0))</f>
        <v/>
      </c>
      <c r="F180" s="80"/>
      <c r="G180" s="5"/>
      <c r="H180" s="73">
        <f t="shared" si="2"/>
        <v>40</v>
      </c>
    </row>
    <row r="181" spans="4:8" ht="13.8">
      <c r="D181" s="1"/>
      <c r="E181" s="1" t="str">
        <f>IF(ISERROR(VLOOKUP(D181,Categorias!A:B,2,0)),"",VLOOKUP(D181,Categorias!A:B,2,0))</f>
        <v/>
      </c>
      <c r="F181" s="80"/>
      <c r="G181" s="5"/>
      <c r="H181" s="73">
        <f t="shared" si="2"/>
        <v>40</v>
      </c>
    </row>
    <row r="182" spans="4:8" ht="13.8">
      <c r="D182" s="1"/>
      <c r="E182" s="1" t="str">
        <f>IF(ISERROR(VLOOKUP(D182,Categorias!A:B,2,0)),"",VLOOKUP(D182,Categorias!A:B,2,0))</f>
        <v/>
      </c>
      <c r="F182" s="80"/>
      <c r="G182" s="5"/>
      <c r="H182" s="73">
        <f t="shared" si="2"/>
        <v>40</v>
      </c>
    </row>
    <row r="183" spans="4:8" ht="13.8">
      <c r="D183" s="1"/>
      <c r="E183" s="1" t="str">
        <f>IF(ISERROR(VLOOKUP(D183,Categorias!A:B,2,0)),"",VLOOKUP(D183,Categorias!A:B,2,0))</f>
        <v/>
      </c>
      <c r="F183" s="80"/>
      <c r="G183" s="5"/>
      <c r="H183" s="73">
        <f t="shared" si="2"/>
        <v>40</v>
      </c>
    </row>
    <row r="184" spans="4:8" ht="13.8">
      <c r="D184" s="1"/>
      <c r="E184" s="1" t="str">
        <f>IF(ISERROR(VLOOKUP(D184,Categorias!A:B,2,0)),"",VLOOKUP(D184,Categorias!A:B,2,0))</f>
        <v/>
      </c>
      <c r="F184" s="80"/>
      <c r="G184" s="5"/>
      <c r="H184" s="73">
        <f t="shared" si="2"/>
        <v>40</v>
      </c>
    </row>
    <row r="185" spans="4:8" ht="13.8">
      <c r="D185" s="1"/>
      <c r="E185" s="1" t="str">
        <f>IF(ISERROR(VLOOKUP(D185,Categorias!A:B,2,0)),"",VLOOKUP(D185,Categorias!A:B,2,0))</f>
        <v/>
      </c>
      <c r="F185" s="80"/>
      <c r="G185" s="5"/>
      <c r="H185" s="73">
        <f t="shared" si="2"/>
        <v>40</v>
      </c>
    </row>
    <row r="186" spans="4:8" ht="13.8">
      <c r="D186" s="1"/>
      <c r="E186" s="1" t="str">
        <f>IF(ISERROR(VLOOKUP(D186,Categorias!A:B,2,0)),"",VLOOKUP(D186,Categorias!A:B,2,0))</f>
        <v/>
      </c>
      <c r="F186" s="80"/>
      <c r="G186" s="5"/>
      <c r="H186" s="73">
        <f t="shared" si="2"/>
        <v>40</v>
      </c>
    </row>
    <row r="187" spans="4:8" ht="13.8">
      <c r="D187" s="1"/>
      <c r="E187" s="1" t="str">
        <f>IF(ISERROR(VLOOKUP(D187,Categorias!A:B,2,0)),"",VLOOKUP(D187,Categorias!A:B,2,0))</f>
        <v/>
      </c>
      <c r="F187" s="80"/>
      <c r="G187" s="5"/>
      <c r="H187" s="73">
        <f t="shared" si="2"/>
        <v>40</v>
      </c>
    </row>
    <row r="188" spans="4:8" ht="13.8">
      <c r="D188" s="1"/>
      <c r="E188" s="1" t="str">
        <f>IF(ISERROR(VLOOKUP(D188,Categorias!A:B,2,0)),"",VLOOKUP(D188,Categorias!A:B,2,0))</f>
        <v/>
      </c>
      <c r="F188" s="80"/>
      <c r="G188" s="5"/>
      <c r="H188" s="73">
        <f t="shared" si="2"/>
        <v>40</v>
      </c>
    </row>
    <row r="189" spans="4:8" ht="13.8">
      <c r="D189" s="1"/>
      <c r="E189" s="1" t="str">
        <f>IF(ISERROR(VLOOKUP(D189,Categorias!A:B,2,0)),"",VLOOKUP(D189,Categorias!A:B,2,0))</f>
        <v/>
      </c>
      <c r="F189" s="80"/>
      <c r="G189" s="5"/>
      <c r="H189" s="73">
        <f t="shared" si="2"/>
        <v>40</v>
      </c>
    </row>
    <row r="190" spans="4:8" ht="13.8">
      <c r="D190" s="1"/>
      <c r="E190" s="1" t="str">
        <f>IF(ISERROR(VLOOKUP(D190,Categorias!A:B,2,0)),"",VLOOKUP(D190,Categorias!A:B,2,0))</f>
        <v/>
      </c>
      <c r="F190" s="80"/>
      <c r="G190" s="5"/>
      <c r="H190" s="73">
        <f t="shared" si="2"/>
        <v>40</v>
      </c>
    </row>
    <row r="191" spans="4:8" ht="13.8">
      <c r="D191" s="1"/>
      <c r="E191" s="1" t="str">
        <f>IF(ISERROR(VLOOKUP(D191,Categorias!A:B,2,0)),"",VLOOKUP(D191,Categorias!A:B,2,0))</f>
        <v/>
      </c>
      <c r="F191" s="80"/>
      <c r="G191" s="5"/>
      <c r="H191" s="73">
        <f t="shared" si="2"/>
        <v>40</v>
      </c>
    </row>
    <row r="192" spans="4:8" ht="13.8">
      <c r="D192" s="1"/>
      <c r="E192" s="1" t="str">
        <f>IF(ISERROR(VLOOKUP(D192,Categorias!A:B,2,0)),"",VLOOKUP(D192,Categorias!A:B,2,0))</f>
        <v/>
      </c>
      <c r="F192" s="80"/>
      <c r="G192" s="5"/>
      <c r="H192" s="73">
        <f t="shared" si="2"/>
        <v>40</v>
      </c>
    </row>
    <row r="193" spans="4:8" ht="13.8">
      <c r="D193" s="1"/>
      <c r="E193" s="1" t="str">
        <f>IF(ISERROR(VLOOKUP(D193,Categorias!A:B,2,0)),"",VLOOKUP(D193,Categorias!A:B,2,0))</f>
        <v/>
      </c>
      <c r="F193" s="80"/>
      <c r="G193" s="5"/>
      <c r="H193" s="73">
        <f t="shared" si="2"/>
        <v>40</v>
      </c>
    </row>
    <row r="194" spans="4:8" ht="13.8">
      <c r="D194" s="1"/>
      <c r="E194" s="1" t="str">
        <f>IF(ISERROR(VLOOKUP(D194,Categorias!A:B,2,0)),"",VLOOKUP(D194,Categorias!A:B,2,0))</f>
        <v/>
      </c>
      <c r="F194" s="80"/>
      <c r="G194" s="5"/>
      <c r="H194" s="73">
        <f t="shared" si="2"/>
        <v>40</v>
      </c>
    </row>
    <row r="195" spans="4:8" ht="13.8">
      <c r="D195" s="1"/>
      <c r="E195" s="1" t="str">
        <f>IF(ISERROR(VLOOKUP(D195,Categorias!A:B,2,0)),"",VLOOKUP(D195,Categorias!A:B,2,0))</f>
        <v/>
      </c>
      <c r="F195" s="80"/>
      <c r="G195" s="5"/>
      <c r="H195" s="73">
        <f t="shared" si="2"/>
        <v>40</v>
      </c>
    </row>
    <row r="196" spans="4:8" ht="13.8">
      <c r="D196" s="1"/>
      <c r="E196" s="1" t="str">
        <f>IF(ISERROR(VLOOKUP(D196,Categorias!A:B,2,0)),"",VLOOKUP(D196,Categorias!A:B,2,0))</f>
        <v/>
      </c>
      <c r="F196" s="80"/>
      <c r="G196" s="5"/>
      <c r="H196" s="73">
        <f t="shared" si="2"/>
        <v>40</v>
      </c>
    </row>
    <row r="197" spans="4:8" ht="13.8">
      <c r="D197" s="1"/>
      <c r="E197" s="1" t="str">
        <f>IF(ISERROR(VLOOKUP(D197,Categorias!A:B,2,0)),"",VLOOKUP(D197,Categorias!A:B,2,0))</f>
        <v/>
      </c>
      <c r="F197" s="80"/>
      <c r="G197" s="5"/>
      <c r="H197" s="73">
        <f t="shared" si="2"/>
        <v>40</v>
      </c>
    </row>
    <row r="198" spans="4:8" ht="13.8">
      <c r="D198" s="1"/>
      <c r="E198" s="1" t="str">
        <f>IF(ISERROR(VLOOKUP(D198,Categorias!A:B,2,0)),"",VLOOKUP(D198,Categorias!A:B,2,0))</f>
        <v/>
      </c>
      <c r="F198" s="80"/>
      <c r="G198" s="5"/>
      <c r="H198" s="73">
        <f t="shared" si="2"/>
        <v>40</v>
      </c>
    </row>
    <row r="199" spans="4:8" ht="13.8">
      <c r="D199" s="1"/>
      <c r="E199" s="1" t="str">
        <f>IF(ISERROR(VLOOKUP(D199,Categorias!A:B,2,0)),"",VLOOKUP(D199,Categorias!A:B,2,0))</f>
        <v/>
      </c>
      <c r="F199" s="80"/>
      <c r="G199" s="5"/>
      <c r="H199" s="73">
        <f t="shared" si="2"/>
        <v>40</v>
      </c>
    </row>
    <row r="200" spans="4:8" ht="13.8">
      <c r="D200" s="1"/>
      <c r="E200" s="1" t="str">
        <f>IF(ISERROR(VLOOKUP(D200,Categorias!A:B,2,0)),"",VLOOKUP(D200,Categorias!A:B,2,0))</f>
        <v/>
      </c>
      <c r="F200" s="80"/>
      <c r="G200" s="5"/>
      <c r="H200" s="73">
        <f t="shared" si="2"/>
        <v>40</v>
      </c>
    </row>
    <row r="201" spans="4:8" ht="13.8">
      <c r="D201" s="1"/>
      <c r="E201" s="1" t="str">
        <f>IF(ISERROR(VLOOKUP(D201,Categorias!A:B,2,0)),"",VLOOKUP(D201,Categorias!A:B,2,0))</f>
        <v/>
      </c>
      <c r="F201" s="80"/>
      <c r="G201" s="5"/>
      <c r="H201" s="73">
        <f t="shared" si="2"/>
        <v>40</v>
      </c>
    </row>
    <row r="202" spans="4:8" ht="13.8">
      <c r="D202" s="1"/>
      <c r="E202" s="1" t="str">
        <f>IF(ISERROR(VLOOKUP(D202,Categorias!A:B,2,0)),"",VLOOKUP(D202,Categorias!A:B,2,0))</f>
        <v/>
      </c>
      <c r="F202" s="80"/>
      <c r="G202" s="5"/>
      <c r="H202" s="73">
        <f t="shared" si="2"/>
        <v>40</v>
      </c>
    </row>
    <row r="203" spans="4:8" ht="13.8">
      <c r="D203" s="1"/>
      <c r="E203" s="1" t="str">
        <f>IF(ISERROR(VLOOKUP(D203,Categorias!A:B,2,0)),"",VLOOKUP(D203,Categorias!A:B,2,0))</f>
        <v/>
      </c>
      <c r="F203" s="80"/>
      <c r="G203" s="5"/>
      <c r="H203" s="73">
        <f t="shared" si="2"/>
        <v>40</v>
      </c>
    </row>
    <row r="204" spans="4:8" ht="13.8">
      <c r="D204" s="1"/>
      <c r="E204" s="1" t="str">
        <f>IF(ISERROR(VLOOKUP(D204,Categorias!A:B,2,0)),"",VLOOKUP(D204,Categorias!A:B,2,0))</f>
        <v/>
      </c>
      <c r="F204" s="80"/>
      <c r="G204" s="5"/>
      <c r="H204" s="73">
        <f t="shared" si="2"/>
        <v>40</v>
      </c>
    </row>
    <row r="205" spans="4:8" ht="13.8">
      <c r="D205" s="1"/>
      <c r="E205" s="1" t="str">
        <f>IF(ISERROR(VLOOKUP(D205,Categorias!A:B,2,0)),"",VLOOKUP(D205,Categorias!A:B,2,0))</f>
        <v/>
      </c>
      <c r="F205" s="80"/>
      <c r="G205" s="5"/>
      <c r="H205" s="73">
        <f t="shared" si="2"/>
        <v>40</v>
      </c>
    </row>
    <row r="206" spans="4:8" ht="13.8">
      <c r="D206" s="1"/>
      <c r="E206" s="1" t="str">
        <f>IF(ISERROR(VLOOKUP(D206,Categorias!A:B,2,0)),"",VLOOKUP(D206,Categorias!A:B,2,0))</f>
        <v/>
      </c>
      <c r="F206" s="80"/>
      <c r="G206" s="5"/>
      <c r="H206" s="73">
        <f t="shared" ref="H206:H254" si="3">H205+F206-G206</f>
        <v>40</v>
      </c>
    </row>
    <row r="207" spans="4:8" ht="13.8">
      <c r="D207" s="1"/>
      <c r="E207" s="1" t="str">
        <f>IF(ISERROR(VLOOKUP(D207,Categorias!A:B,2,0)),"",VLOOKUP(D207,Categorias!A:B,2,0))</f>
        <v/>
      </c>
      <c r="F207" s="80"/>
      <c r="G207" s="5"/>
      <c r="H207" s="73">
        <f t="shared" si="3"/>
        <v>40</v>
      </c>
    </row>
    <row r="208" spans="4:8" ht="13.8">
      <c r="D208" s="1"/>
      <c r="E208" s="1" t="str">
        <f>IF(ISERROR(VLOOKUP(D208,Categorias!A:B,2,0)),"",VLOOKUP(D208,Categorias!A:B,2,0))</f>
        <v/>
      </c>
      <c r="F208" s="80"/>
      <c r="G208" s="5"/>
      <c r="H208" s="73">
        <f t="shared" si="3"/>
        <v>40</v>
      </c>
    </row>
    <row r="209" spans="4:8" ht="13.8">
      <c r="D209" s="1"/>
      <c r="E209" s="1" t="str">
        <f>IF(ISERROR(VLOOKUP(D209,Categorias!A:B,2,0)),"",VLOOKUP(D209,Categorias!A:B,2,0))</f>
        <v/>
      </c>
      <c r="F209" s="80"/>
      <c r="G209" s="5"/>
      <c r="H209" s="73">
        <f t="shared" si="3"/>
        <v>40</v>
      </c>
    </row>
    <row r="210" spans="4:8" ht="13.8">
      <c r="D210" s="1"/>
      <c r="E210" s="1" t="str">
        <f>IF(ISERROR(VLOOKUP(D210,Categorias!A:B,2,0)),"",VLOOKUP(D210,Categorias!A:B,2,0))</f>
        <v/>
      </c>
      <c r="F210" s="80"/>
      <c r="G210" s="5"/>
      <c r="H210" s="73">
        <f t="shared" si="3"/>
        <v>40</v>
      </c>
    </row>
    <row r="211" spans="4:8" ht="13.8">
      <c r="D211" s="1"/>
      <c r="E211" s="1" t="str">
        <f>IF(ISERROR(VLOOKUP(D211,Categorias!A:B,2,0)),"",VLOOKUP(D211,Categorias!A:B,2,0))</f>
        <v/>
      </c>
      <c r="F211" s="80"/>
      <c r="G211" s="5"/>
      <c r="H211" s="73">
        <f t="shared" si="3"/>
        <v>40</v>
      </c>
    </row>
    <row r="212" spans="4:8" ht="13.8">
      <c r="D212" s="1"/>
      <c r="E212" s="1" t="str">
        <f>IF(ISERROR(VLOOKUP(D212,Categorias!A:B,2,0)),"",VLOOKUP(D212,Categorias!A:B,2,0))</f>
        <v/>
      </c>
      <c r="F212" s="80"/>
      <c r="G212" s="5"/>
      <c r="H212" s="73">
        <f t="shared" si="3"/>
        <v>40</v>
      </c>
    </row>
    <row r="213" spans="4:8" ht="13.8">
      <c r="D213" s="1"/>
      <c r="E213" s="1" t="str">
        <f>IF(ISERROR(VLOOKUP(D213,Categorias!A:B,2,0)),"",VLOOKUP(D213,Categorias!A:B,2,0))</f>
        <v/>
      </c>
      <c r="F213" s="80"/>
      <c r="G213" s="5"/>
      <c r="H213" s="73">
        <f t="shared" si="3"/>
        <v>40</v>
      </c>
    </row>
    <row r="214" spans="4:8" ht="13.8">
      <c r="D214" s="1"/>
      <c r="E214" s="1" t="str">
        <f>IF(ISERROR(VLOOKUP(D214,Categorias!A:B,2,0)),"",VLOOKUP(D214,Categorias!A:B,2,0))</f>
        <v/>
      </c>
      <c r="F214" s="80"/>
      <c r="G214" s="5"/>
      <c r="H214" s="73">
        <f t="shared" si="3"/>
        <v>40</v>
      </c>
    </row>
    <row r="215" spans="4:8" ht="13.8">
      <c r="D215" s="1"/>
      <c r="E215" s="1" t="str">
        <f>IF(ISERROR(VLOOKUP(D215,Categorias!A:B,2,0)),"",VLOOKUP(D215,Categorias!A:B,2,0))</f>
        <v/>
      </c>
      <c r="F215" s="80"/>
      <c r="G215" s="5"/>
      <c r="H215" s="73">
        <f t="shared" si="3"/>
        <v>40</v>
      </c>
    </row>
    <row r="216" spans="4:8" ht="13.8">
      <c r="D216" s="1"/>
      <c r="E216" s="1" t="str">
        <f>IF(ISERROR(VLOOKUP(D216,Categorias!A:B,2,0)),"",VLOOKUP(D216,Categorias!A:B,2,0))</f>
        <v/>
      </c>
      <c r="F216" s="80"/>
      <c r="G216" s="5"/>
      <c r="H216" s="73">
        <f t="shared" si="3"/>
        <v>40</v>
      </c>
    </row>
    <row r="217" spans="4:8" ht="13.8">
      <c r="D217" s="1"/>
      <c r="E217" s="1" t="str">
        <f>IF(ISERROR(VLOOKUP(D217,Categorias!A:B,2,0)),"",VLOOKUP(D217,Categorias!A:B,2,0))</f>
        <v/>
      </c>
      <c r="F217" s="80"/>
      <c r="G217" s="5"/>
      <c r="H217" s="73">
        <f t="shared" si="3"/>
        <v>40</v>
      </c>
    </row>
    <row r="218" spans="4:8" ht="13.8">
      <c r="D218" s="1"/>
      <c r="E218" s="1" t="str">
        <f>IF(ISERROR(VLOOKUP(D218,Categorias!A:B,2,0)),"",VLOOKUP(D218,Categorias!A:B,2,0))</f>
        <v/>
      </c>
      <c r="F218" s="80"/>
      <c r="G218" s="5"/>
      <c r="H218" s="73">
        <f t="shared" si="3"/>
        <v>40</v>
      </c>
    </row>
    <row r="219" spans="4:8" ht="13.8">
      <c r="D219" s="1"/>
      <c r="E219" s="1" t="str">
        <f>IF(ISERROR(VLOOKUP(D219,Categorias!A:B,2,0)),"",VLOOKUP(D219,Categorias!A:B,2,0))</f>
        <v/>
      </c>
      <c r="F219" s="80"/>
      <c r="G219" s="5"/>
      <c r="H219" s="73">
        <f t="shared" si="3"/>
        <v>40</v>
      </c>
    </row>
    <row r="220" spans="4:8" ht="13.8">
      <c r="D220" s="1"/>
      <c r="E220" s="1" t="str">
        <f>IF(ISERROR(VLOOKUP(D220,Categorias!A:B,2,0)),"",VLOOKUP(D220,Categorias!A:B,2,0))</f>
        <v/>
      </c>
      <c r="F220" s="80"/>
      <c r="G220" s="5"/>
      <c r="H220" s="73">
        <f t="shared" si="3"/>
        <v>40</v>
      </c>
    </row>
    <row r="221" spans="4:8" ht="13.8">
      <c r="D221" s="1"/>
      <c r="E221" s="1" t="str">
        <f>IF(ISERROR(VLOOKUP(D221,Categorias!A:B,2,0)),"",VLOOKUP(D221,Categorias!A:B,2,0))</f>
        <v/>
      </c>
      <c r="F221" s="80"/>
      <c r="G221" s="5"/>
      <c r="H221" s="73">
        <f t="shared" si="3"/>
        <v>40</v>
      </c>
    </row>
    <row r="222" spans="4:8" ht="13.8">
      <c r="D222" s="1"/>
      <c r="E222" s="1" t="str">
        <f>IF(ISERROR(VLOOKUP(D222,Categorias!A:B,2,0)),"",VLOOKUP(D222,Categorias!A:B,2,0))</f>
        <v/>
      </c>
      <c r="F222" s="80"/>
      <c r="G222" s="5"/>
      <c r="H222" s="73">
        <f t="shared" si="3"/>
        <v>40</v>
      </c>
    </row>
    <row r="223" spans="4:8" ht="13.8">
      <c r="D223" s="1"/>
      <c r="E223" s="1" t="str">
        <f>IF(ISERROR(VLOOKUP(D223,Categorias!A:B,2,0)),"",VLOOKUP(D223,Categorias!A:B,2,0))</f>
        <v/>
      </c>
      <c r="F223" s="80"/>
      <c r="G223" s="5"/>
      <c r="H223" s="73">
        <f t="shared" si="3"/>
        <v>40</v>
      </c>
    </row>
    <row r="224" spans="4:8" ht="13.8">
      <c r="D224" s="1"/>
      <c r="E224" s="1" t="str">
        <f>IF(ISERROR(VLOOKUP(D224,Categorias!A:B,2,0)),"",VLOOKUP(D224,Categorias!A:B,2,0))</f>
        <v/>
      </c>
      <c r="F224" s="80"/>
      <c r="G224" s="5"/>
      <c r="H224" s="73">
        <f t="shared" si="3"/>
        <v>40</v>
      </c>
    </row>
    <row r="225" spans="4:8" ht="13.8">
      <c r="D225" s="1"/>
      <c r="E225" s="1" t="str">
        <f>IF(ISERROR(VLOOKUP(D225,Categorias!A:B,2,0)),"",VLOOKUP(D225,Categorias!A:B,2,0))</f>
        <v/>
      </c>
      <c r="F225" s="80"/>
      <c r="G225" s="5"/>
      <c r="H225" s="73">
        <f t="shared" si="3"/>
        <v>40</v>
      </c>
    </row>
    <row r="226" spans="4:8" ht="13.8">
      <c r="D226" s="1"/>
      <c r="E226" s="1" t="str">
        <f>IF(ISERROR(VLOOKUP(D226,Categorias!A:B,2,0)),"",VLOOKUP(D226,Categorias!A:B,2,0))</f>
        <v/>
      </c>
      <c r="F226" s="80"/>
      <c r="G226" s="5"/>
      <c r="H226" s="73">
        <f t="shared" si="3"/>
        <v>40</v>
      </c>
    </row>
    <row r="227" spans="4:8" ht="13.8">
      <c r="D227" s="1"/>
      <c r="E227" s="1" t="str">
        <f>IF(ISERROR(VLOOKUP(D227,Categorias!A:B,2,0)),"",VLOOKUP(D227,Categorias!A:B,2,0))</f>
        <v/>
      </c>
      <c r="F227" s="80"/>
      <c r="G227" s="5"/>
      <c r="H227" s="73">
        <f t="shared" si="3"/>
        <v>40</v>
      </c>
    </row>
    <row r="228" spans="4:8" ht="13.8">
      <c r="D228" s="1"/>
      <c r="E228" s="1" t="str">
        <f>IF(ISERROR(VLOOKUP(D228,Categorias!A:B,2,0)),"",VLOOKUP(D228,Categorias!A:B,2,0))</f>
        <v/>
      </c>
      <c r="F228" s="80"/>
      <c r="G228" s="5"/>
      <c r="H228" s="73">
        <f t="shared" si="3"/>
        <v>40</v>
      </c>
    </row>
    <row r="229" spans="4:8" ht="13.8">
      <c r="D229" s="1"/>
      <c r="E229" s="1" t="str">
        <f>IF(ISERROR(VLOOKUP(D229,Categorias!A:B,2,0)),"",VLOOKUP(D229,Categorias!A:B,2,0))</f>
        <v/>
      </c>
      <c r="F229" s="80"/>
      <c r="G229" s="5"/>
      <c r="H229" s="73">
        <f t="shared" si="3"/>
        <v>40</v>
      </c>
    </row>
    <row r="230" spans="4:8" ht="13.8">
      <c r="D230" s="1"/>
      <c r="E230" s="1" t="str">
        <f>IF(ISERROR(VLOOKUP(D230,Categorias!A:B,2,0)),"",VLOOKUP(D230,Categorias!A:B,2,0))</f>
        <v/>
      </c>
      <c r="F230" s="80"/>
      <c r="G230" s="5"/>
      <c r="H230" s="73">
        <f t="shared" si="3"/>
        <v>40</v>
      </c>
    </row>
    <row r="231" spans="4:8" ht="13.8">
      <c r="D231" s="1"/>
      <c r="E231" s="1" t="str">
        <f>IF(ISERROR(VLOOKUP(D231,Categorias!A:B,2,0)),"",VLOOKUP(D231,Categorias!A:B,2,0))</f>
        <v/>
      </c>
      <c r="F231" s="80"/>
      <c r="G231" s="5"/>
      <c r="H231" s="73">
        <f t="shared" si="3"/>
        <v>40</v>
      </c>
    </row>
    <row r="232" spans="4:8" ht="13.8">
      <c r="D232" s="1"/>
      <c r="E232" s="1" t="str">
        <f>IF(ISERROR(VLOOKUP(D232,Categorias!A:B,2,0)),"",VLOOKUP(D232,Categorias!A:B,2,0))</f>
        <v/>
      </c>
      <c r="F232" s="80"/>
      <c r="G232" s="5"/>
      <c r="H232" s="73">
        <f t="shared" si="3"/>
        <v>40</v>
      </c>
    </row>
    <row r="233" spans="4:8" ht="13.8">
      <c r="D233" s="1"/>
      <c r="E233" s="1" t="str">
        <f>IF(ISERROR(VLOOKUP(D233,Categorias!A:B,2,0)),"",VLOOKUP(D233,Categorias!A:B,2,0))</f>
        <v/>
      </c>
      <c r="F233" s="80"/>
      <c r="G233" s="5"/>
      <c r="H233" s="73">
        <f t="shared" si="3"/>
        <v>40</v>
      </c>
    </row>
    <row r="234" spans="4:8" ht="13.8">
      <c r="D234" s="1"/>
      <c r="E234" s="1" t="str">
        <f>IF(ISERROR(VLOOKUP(D234,Categorias!A:B,2,0)),"",VLOOKUP(D234,Categorias!A:B,2,0))</f>
        <v/>
      </c>
      <c r="F234" s="80"/>
      <c r="G234" s="5"/>
      <c r="H234" s="73">
        <f t="shared" si="3"/>
        <v>40</v>
      </c>
    </row>
    <row r="235" spans="4:8" ht="13.8">
      <c r="D235" s="1"/>
      <c r="E235" s="1" t="str">
        <f>IF(ISERROR(VLOOKUP(D235,Categorias!A:B,2,0)),"",VLOOKUP(D235,Categorias!A:B,2,0))</f>
        <v/>
      </c>
      <c r="F235" s="80"/>
      <c r="G235" s="5"/>
      <c r="H235" s="73">
        <f t="shared" si="3"/>
        <v>40</v>
      </c>
    </row>
    <row r="236" spans="4:8" ht="13.8">
      <c r="D236" s="1"/>
      <c r="E236" s="1" t="str">
        <f>IF(ISERROR(VLOOKUP(D236,Categorias!A:B,2,0)),"",VLOOKUP(D236,Categorias!A:B,2,0))</f>
        <v/>
      </c>
      <c r="F236" s="80"/>
      <c r="G236" s="5"/>
      <c r="H236" s="73">
        <f t="shared" si="3"/>
        <v>40</v>
      </c>
    </row>
    <row r="237" spans="4:8" ht="13.8">
      <c r="D237" s="1"/>
      <c r="E237" s="1" t="str">
        <f>IF(ISERROR(VLOOKUP(D237,Categorias!A:B,2,0)),"",VLOOKUP(D237,Categorias!A:B,2,0))</f>
        <v/>
      </c>
      <c r="F237" s="80"/>
      <c r="G237" s="5"/>
      <c r="H237" s="73">
        <f t="shared" si="3"/>
        <v>40</v>
      </c>
    </row>
    <row r="238" spans="4:8" ht="13.8">
      <c r="D238" s="1"/>
      <c r="E238" s="1" t="str">
        <f>IF(ISERROR(VLOOKUP(D238,Categorias!A:B,2,0)),"",VLOOKUP(D238,Categorias!A:B,2,0))</f>
        <v/>
      </c>
      <c r="F238" s="80"/>
      <c r="G238" s="5"/>
      <c r="H238" s="73">
        <f t="shared" si="3"/>
        <v>40</v>
      </c>
    </row>
    <row r="239" spans="4:8" ht="13.8">
      <c r="D239" s="1"/>
      <c r="E239" s="1" t="str">
        <f>IF(ISERROR(VLOOKUP(D239,Categorias!A:B,2,0)),"",VLOOKUP(D239,Categorias!A:B,2,0))</f>
        <v/>
      </c>
      <c r="F239" s="80"/>
      <c r="G239" s="5"/>
      <c r="H239" s="73">
        <f t="shared" si="3"/>
        <v>40</v>
      </c>
    </row>
    <row r="240" spans="4:8" ht="13.8">
      <c r="D240" s="1"/>
      <c r="E240" s="1" t="str">
        <f>IF(ISERROR(VLOOKUP(D240,Categorias!A:B,2,0)),"",VLOOKUP(D240,Categorias!A:B,2,0))</f>
        <v/>
      </c>
      <c r="F240" s="80"/>
      <c r="G240" s="5"/>
      <c r="H240" s="73">
        <f t="shared" si="3"/>
        <v>40</v>
      </c>
    </row>
    <row r="241" spans="4:8" ht="13.8">
      <c r="D241" s="1"/>
      <c r="E241" s="1" t="str">
        <f>IF(ISERROR(VLOOKUP(D241,Categorias!A:B,2,0)),"",VLOOKUP(D241,Categorias!A:B,2,0))</f>
        <v/>
      </c>
      <c r="F241" s="80"/>
      <c r="G241" s="5"/>
      <c r="H241" s="73">
        <f t="shared" si="3"/>
        <v>40</v>
      </c>
    </row>
    <row r="242" spans="4:8" ht="13.8">
      <c r="D242" s="1"/>
      <c r="E242" s="1" t="str">
        <f>IF(ISERROR(VLOOKUP(D242,Categorias!A:B,2,0)),"",VLOOKUP(D242,Categorias!A:B,2,0))</f>
        <v/>
      </c>
      <c r="F242" s="80"/>
      <c r="G242" s="5"/>
      <c r="H242" s="73">
        <f t="shared" si="3"/>
        <v>40</v>
      </c>
    </row>
    <row r="243" spans="4:8" ht="13.8">
      <c r="D243" s="1"/>
      <c r="E243" s="1" t="str">
        <f>IF(ISERROR(VLOOKUP(D243,Categorias!A:B,2,0)),"",VLOOKUP(D243,Categorias!A:B,2,0))</f>
        <v/>
      </c>
      <c r="F243" s="80"/>
      <c r="G243" s="5"/>
      <c r="H243" s="73">
        <f t="shared" si="3"/>
        <v>40</v>
      </c>
    </row>
    <row r="244" spans="4:8" ht="13.8">
      <c r="D244" s="1"/>
      <c r="E244" s="1" t="str">
        <f>IF(ISERROR(VLOOKUP(D244,Categorias!A:B,2,0)),"",VLOOKUP(D244,Categorias!A:B,2,0))</f>
        <v/>
      </c>
      <c r="F244" s="80"/>
      <c r="G244" s="5"/>
      <c r="H244" s="73">
        <f t="shared" si="3"/>
        <v>40</v>
      </c>
    </row>
    <row r="245" spans="4:8" ht="13.8">
      <c r="D245" s="1"/>
      <c r="E245" s="1" t="str">
        <f>IF(ISERROR(VLOOKUP(D245,Categorias!A:B,2,0)),"",VLOOKUP(D245,Categorias!A:B,2,0))</f>
        <v/>
      </c>
      <c r="F245" s="80"/>
      <c r="G245" s="5"/>
      <c r="H245" s="73">
        <f t="shared" si="3"/>
        <v>40</v>
      </c>
    </row>
    <row r="246" spans="4:8" ht="13.8">
      <c r="D246" s="1"/>
      <c r="E246" s="1" t="str">
        <f>IF(ISERROR(VLOOKUP(D246,Categorias!A:B,2,0)),"",VLOOKUP(D246,Categorias!A:B,2,0))</f>
        <v/>
      </c>
      <c r="F246" s="80"/>
      <c r="G246" s="5"/>
      <c r="H246" s="73">
        <f t="shared" si="3"/>
        <v>40</v>
      </c>
    </row>
    <row r="247" spans="4:8" ht="13.8">
      <c r="D247" s="1"/>
      <c r="E247" s="1" t="str">
        <f>IF(ISERROR(VLOOKUP(D247,Categorias!A:B,2,0)),"",VLOOKUP(D247,Categorias!A:B,2,0))</f>
        <v/>
      </c>
      <c r="F247" s="80"/>
      <c r="G247" s="5"/>
      <c r="H247" s="73">
        <f t="shared" si="3"/>
        <v>40</v>
      </c>
    </row>
    <row r="248" spans="4:8" ht="13.8">
      <c r="D248" s="1"/>
      <c r="E248" s="1" t="str">
        <f>IF(ISERROR(VLOOKUP(D248,Categorias!A:B,2,0)),"",VLOOKUP(D248,Categorias!A:B,2,0))</f>
        <v/>
      </c>
      <c r="F248" s="80"/>
      <c r="G248" s="5"/>
      <c r="H248" s="73">
        <f t="shared" si="3"/>
        <v>40</v>
      </c>
    </row>
    <row r="249" spans="4:8" ht="13.8">
      <c r="D249" s="1"/>
      <c r="E249" s="1" t="str">
        <f>IF(ISERROR(VLOOKUP(D249,Categorias!A:B,2,0)),"",VLOOKUP(D249,Categorias!A:B,2,0))</f>
        <v/>
      </c>
      <c r="F249" s="80"/>
      <c r="G249" s="5"/>
      <c r="H249" s="73">
        <f t="shared" si="3"/>
        <v>40</v>
      </c>
    </row>
    <row r="250" spans="4:8" ht="13.8">
      <c r="D250" s="1"/>
      <c r="E250" s="1" t="str">
        <f>IF(ISERROR(VLOOKUP(D250,Categorias!A:B,2,0)),"",VLOOKUP(D250,Categorias!A:B,2,0))</f>
        <v/>
      </c>
      <c r="F250" s="80"/>
      <c r="G250" s="5"/>
      <c r="H250" s="73">
        <f t="shared" si="3"/>
        <v>40</v>
      </c>
    </row>
    <row r="251" spans="4:8" ht="13.8">
      <c r="D251" s="1"/>
      <c r="E251" s="1" t="str">
        <f>IF(ISERROR(VLOOKUP(D251,Categorias!A:B,2,0)),"",VLOOKUP(D251,Categorias!A:B,2,0))</f>
        <v/>
      </c>
      <c r="F251" s="80"/>
      <c r="G251" s="5"/>
      <c r="H251" s="73">
        <f t="shared" si="3"/>
        <v>40</v>
      </c>
    </row>
    <row r="252" spans="4:8" ht="13.8">
      <c r="D252" s="1"/>
      <c r="E252" s="1" t="str">
        <f>IF(ISERROR(VLOOKUP(D252,Categorias!A:B,2,0)),"",VLOOKUP(D252,Categorias!A:B,2,0))</f>
        <v/>
      </c>
      <c r="F252" s="80"/>
      <c r="G252" s="5"/>
      <c r="H252" s="73">
        <f t="shared" si="3"/>
        <v>40</v>
      </c>
    </row>
    <row r="253" spans="4:8" ht="13.8">
      <c r="D253" s="1"/>
      <c r="E253" s="1" t="str">
        <f>IF(ISERROR(VLOOKUP(D253,Categorias!A:B,2,0)),"",VLOOKUP(D253,Categorias!A:B,2,0))</f>
        <v/>
      </c>
      <c r="F253" s="80"/>
      <c r="G253" s="5"/>
      <c r="H253" s="73">
        <f t="shared" si="3"/>
        <v>40</v>
      </c>
    </row>
    <row r="254" spans="4:8" ht="13.8">
      <c r="D254" s="1"/>
      <c r="E254" s="1" t="str">
        <f>IF(ISERROR(VLOOKUP(D254,Categorias!A:B,2,0)),"",VLOOKUP(D254,Categorias!A:B,2,0))</f>
        <v/>
      </c>
      <c r="F254" s="80"/>
      <c r="G254" s="5"/>
      <c r="H254" s="73">
        <f t="shared" si="3"/>
        <v>40</v>
      </c>
    </row>
    <row r="255" spans="4:8" ht="13.8">
      <c r="F255" s="81"/>
      <c r="G255" s="6"/>
      <c r="H255" s="60"/>
    </row>
    <row r="256" spans="4:8" ht="13.8">
      <c r="F256" s="81"/>
      <c r="G256" s="6"/>
      <c r="H256" s="60"/>
    </row>
    <row r="257" spans="6:8" ht="13.8">
      <c r="F257" s="81"/>
      <c r="G257" s="6"/>
      <c r="H257" s="60"/>
    </row>
    <row r="258" spans="6:8" ht="13.8">
      <c r="F258" s="81"/>
      <c r="G258" s="6"/>
      <c r="H258" s="60"/>
    </row>
    <row r="259" spans="6:8" ht="13.8">
      <c r="F259" s="81"/>
      <c r="G259" s="6"/>
      <c r="H259" s="60"/>
    </row>
    <row r="260" spans="6:8" ht="13.8">
      <c r="F260" s="81"/>
      <c r="G260" s="6"/>
      <c r="H260" s="60"/>
    </row>
    <row r="261" spans="6:8" ht="13.8">
      <c r="F261" s="81"/>
      <c r="G261" s="6"/>
      <c r="H261" s="60"/>
    </row>
    <row r="262" spans="6:8" ht="13.8">
      <c r="F262" s="81"/>
      <c r="G262" s="6"/>
      <c r="H262" s="60"/>
    </row>
    <row r="263" spans="6:8" ht="13.8">
      <c r="F263" s="81"/>
      <c r="G263" s="6"/>
      <c r="H263" s="60"/>
    </row>
    <row r="264" spans="6:8" ht="13.8">
      <c r="F264" s="81"/>
      <c r="G264" s="6"/>
      <c r="H264" s="60"/>
    </row>
    <row r="265" spans="6:8" ht="13.8">
      <c r="F265" s="81"/>
      <c r="G265" s="6"/>
      <c r="H265" s="60"/>
    </row>
    <row r="266" spans="6:8" ht="13.8">
      <c r="F266" s="81"/>
      <c r="G266" s="6"/>
      <c r="H266" s="60"/>
    </row>
    <row r="267" spans="6:8" ht="13.8">
      <c r="F267" s="81"/>
      <c r="G267" s="6"/>
      <c r="H267" s="60"/>
    </row>
    <row r="268" spans="6:8" ht="13.8">
      <c r="F268" s="81"/>
      <c r="G268" s="6"/>
      <c r="H268" s="60"/>
    </row>
    <row r="269" spans="6:8" ht="13.8">
      <c r="F269" s="81"/>
      <c r="G269" s="6"/>
      <c r="H269" s="60"/>
    </row>
    <row r="270" spans="6:8" ht="13.8">
      <c r="F270" s="81"/>
      <c r="G270" s="6"/>
      <c r="H270" s="60"/>
    </row>
    <row r="271" spans="6:8" ht="13.8">
      <c r="F271" s="81"/>
      <c r="G271" s="6"/>
      <c r="H271" s="60"/>
    </row>
    <row r="272" spans="6:8" ht="13.8">
      <c r="F272" s="81"/>
      <c r="G272" s="6"/>
      <c r="H272" s="60"/>
    </row>
    <row r="273" spans="6:8" ht="13.8">
      <c r="F273" s="81"/>
      <c r="G273" s="6"/>
      <c r="H273" s="60"/>
    </row>
    <row r="274" spans="6:8" ht="13.8">
      <c r="F274" s="81"/>
      <c r="G274" s="6"/>
      <c r="H274" s="60"/>
    </row>
    <row r="275" spans="6:8" ht="13.8">
      <c r="F275" s="81"/>
      <c r="G275" s="6"/>
      <c r="H275" s="60"/>
    </row>
    <row r="276" spans="6:8" ht="13.8">
      <c r="F276" s="81"/>
      <c r="G276" s="6"/>
      <c r="H276" s="60"/>
    </row>
    <row r="277" spans="6:8" ht="13.8">
      <c r="F277" s="81"/>
      <c r="G277" s="6"/>
      <c r="H277" s="60"/>
    </row>
    <row r="278" spans="6:8" ht="13.8">
      <c r="F278" s="81"/>
      <c r="G278" s="6"/>
      <c r="H278" s="60"/>
    </row>
    <row r="279" spans="6:8" ht="13.8">
      <c r="F279" s="81"/>
      <c r="G279" s="6"/>
      <c r="H279" s="60"/>
    </row>
    <row r="280" spans="6:8" ht="13.8">
      <c r="F280" s="81"/>
      <c r="G280" s="6"/>
      <c r="H280" s="60"/>
    </row>
    <row r="281" spans="6:8" ht="13.8">
      <c r="F281" s="81"/>
      <c r="G281" s="6"/>
      <c r="H281" s="60"/>
    </row>
    <row r="282" spans="6:8" ht="13.8">
      <c r="F282" s="81"/>
      <c r="G282" s="6"/>
      <c r="H282" s="60"/>
    </row>
    <row r="283" spans="6:8" ht="13.8">
      <c r="F283" s="81"/>
      <c r="G283" s="6"/>
      <c r="H283" s="60"/>
    </row>
    <row r="284" spans="6:8" ht="13.8">
      <c r="F284" s="81"/>
      <c r="G284" s="6"/>
      <c r="H284" s="60"/>
    </row>
    <row r="285" spans="6:8" ht="13.8">
      <c r="F285" s="81"/>
      <c r="G285" s="6"/>
      <c r="H285" s="60"/>
    </row>
    <row r="286" spans="6:8" ht="13.8">
      <c r="F286" s="81"/>
      <c r="G286" s="6"/>
      <c r="H286" s="60"/>
    </row>
    <row r="287" spans="6:8" ht="13.8">
      <c r="F287" s="81"/>
      <c r="G287" s="6"/>
      <c r="H287" s="60"/>
    </row>
    <row r="288" spans="6:8" ht="13.8">
      <c r="F288" s="81"/>
      <c r="G288" s="6"/>
      <c r="H288" s="60"/>
    </row>
    <row r="289" spans="6:8" ht="13.8">
      <c r="F289" s="81"/>
      <c r="G289" s="6"/>
      <c r="H289" s="60"/>
    </row>
    <row r="290" spans="6:8" ht="13.8">
      <c r="F290" s="81"/>
      <c r="G290" s="6"/>
      <c r="H290" s="60"/>
    </row>
    <row r="291" spans="6:8" ht="13.8">
      <c r="F291" s="81"/>
      <c r="G291" s="6"/>
      <c r="H291" s="60"/>
    </row>
    <row r="292" spans="6:8" ht="13.8">
      <c r="F292" s="81"/>
      <c r="G292" s="6"/>
      <c r="H292" s="60"/>
    </row>
    <row r="293" spans="6:8" ht="13.8">
      <c r="F293" s="81"/>
      <c r="G293" s="6"/>
      <c r="H293" s="60"/>
    </row>
    <row r="294" spans="6:8" ht="13.8">
      <c r="F294" s="81"/>
      <c r="G294" s="6"/>
      <c r="H294" s="60"/>
    </row>
    <row r="295" spans="6:8" ht="13.8">
      <c r="F295" s="81"/>
      <c r="G295" s="6"/>
      <c r="H295" s="60"/>
    </row>
    <row r="296" spans="6:8" ht="13.8">
      <c r="F296" s="81"/>
      <c r="G296" s="6"/>
      <c r="H296" s="60"/>
    </row>
    <row r="297" spans="6:8" ht="13.8">
      <c r="F297" s="81"/>
      <c r="G297" s="6"/>
      <c r="H297" s="60"/>
    </row>
    <row r="298" spans="6:8" ht="13.8">
      <c r="F298" s="81"/>
      <c r="G298" s="6"/>
      <c r="H298" s="60"/>
    </row>
    <row r="299" spans="6:8" ht="13.8">
      <c r="F299" s="81"/>
      <c r="G299" s="6"/>
      <c r="H299" s="60"/>
    </row>
    <row r="300" spans="6:8" ht="13.8">
      <c r="F300" s="81"/>
      <c r="G300" s="6"/>
      <c r="H300" s="60"/>
    </row>
    <row r="301" spans="6:8" ht="13.8">
      <c r="F301" s="81"/>
      <c r="G301" s="6"/>
      <c r="H301" s="60"/>
    </row>
    <row r="302" spans="6:8" ht="13.8">
      <c r="F302" s="81"/>
      <c r="G302" s="6"/>
      <c r="H302" s="60"/>
    </row>
    <row r="303" spans="6:8" ht="13.8">
      <c r="F303" s="81"/>
      <c r="G303" s="6"/>
      <c r="H303" s="60"/>
    </row>
    <row r="304" spans="6:8" ht="13.8">
      <c r="F304" s="81"/>
      <c r="G304" s="6"/>
      <c r="H304" s="60"/>
    </row>
    <row r="305" spans="6:8" ht="13.8">
      <c r="F305" s="81"/>
      <c r="G305" s="6"/>
      <c r="H305" s="60"/>
    </row>
    <row r="306" spans="6:8" ht="13.8">
      <c r="F306" s="81"/>
      <c r="G306" s="6"/>
      <c r="H306" s="60"/>
    </row>
    <row r="307" spans="6:8" ht="13.8">
      <c r="F307" s="81"/>
      <c r="G307" s="6"/>
      <c r="H307" s="60"/>
    </row>
    <row r="308" spans="6:8" ht="13.8">
      <c r="F308" s="81"/>
      <c r="G308" s="6"/>
      <c r="H308" s="60"/>
    </row>
    <row r="309" spans="6:8" ht="13.8">
      <c r="F309" s="81"/>
      <c r="G309" s="6"/>
      <c r="H309" s="60"/>
    </row>
    <row r="310" spans="6:8" ht="13.8">
      <c r="F310" s="81"/>
      <c r="G310" s="6"/>
      <c r="H310" s="60"/>
    </row>
    <row r="311" spans="6:8" ht="13.8">
      <c r="F311" s="81"/>
      <c r="G311" s="6"/>
      <c r="H311" s="60"/>
    </row>
    <row r="312" spans="6:8" ht="13.8">
      <c r="F312" s="81"/>
      <c r="G312" s="6"/>
      <c r="H312" s="60"/>
    </row>
    <row r="313" spans="6:8" ht="13.8">
      <c r="F313" s="81"/>
      <c r="G313" s="6"/>
      <c r="H313" s="60"/>
    </row>
    <row r="314" spans="6:8" ht="13.8">
      <c r="F314" s="81"/>
      <c r="G314" s="6"/>
      <c r="H314" s="60"/>
    </row>
    <row r="315" spans="6:8" ht="13.8">
      <c r="F315" s="81"/>
      <c r="G315" s="6"/>
      <c r="H315" s="60"/>
    </row>
    <row r="316" spans="6:8" ht="13.8">
      <c r="F316" s="81"/>
      <c r="G316" s="6"/>
      <c r="H316" s="60"/>
    </row>
    <row r="317" spans="6:8" ht="13.8">
      <c r="F317" s="81"/>
      <c r="G317" s="6"/>
      <c r="H317" s="60"/>
    </row>
    <row r="318" spans="6:8" ht="13.8">
      <c r="F318" s="81"/>
      <c r="G318" s="6"/>
      <c r="H318" s="60"/>
    </row>
    <row r="319" spans="6:8" ht="13.8">
      <c r="F319" s="81"/>
      <c r="G319" s="6"/>
      <c r="H319" s="60"/>
    </row>
    <row r="320" spans="6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  <row r="455" spans="6:8" ht="13.2"/>
    <row r="456" spans="6:8" ht="13.2"/>
    <row r="457" spans="6:8" ht="13.2"/>
    <row r="458" spans="6:8" ht="13.2"/>
    <row r="459" spans="6:8" ht="13.2"/>
    <row r="460" spans="6:8" ht="13.2"/>
    <row r="461" spans="6:8" ht="13.2"/>
    <row r="462" spans="6:8" ht="13.2"/>
    <row r="463" spans="6:8" ht="13.2"/>
    <row r="464" spans="6:8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</sheetData>
  <autoFilter ref="A5:G249" xr:uid="{00000000-0009-0000-0000-000002000000}"/>
  <mergeCells count="12">
    <mergeCell ref="B2:H5"/>
    <mergeCell ref="B7:D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9786B9B5-396A-4211-BBEE-7BA4EBCA0FA2}">
          <x14:formula1>
            <xm:f>Categorias!$A:$A</xm:f>
          </x14:formula1>
          <xm:sqref>D13:D254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7F79-2AEC-465C-A4BB-30B95201994D}">
  <dimension ref="A1:K1000"/>
  <sheetViews>
    <sheetView showGridLines="0" topLeftCell="B1" workbookViewId="0">
      <selection activeCell="C36" sqref="C36"/>
    </sheetView>
  </sheetViews>
  <sheetFormatPr defaultColWidth="12.6640625" defaultRowHeight="15" customHeight="1"/>
  <cols>
    <col min="1" max="1" width="5.33203125" style="77" customWidth="1"/>
    <col min="2" max="2" width="13" style="76" bestFit="1" customWidth="1"/>
    <col min="3" max="3" width="39.6640625" style="7" bestFit="1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11" s="8" customFormat="1" ht="4.5" customHeight="1">
      <c r="B1" s="76"/>
      <c r="C1" s="83"/>
      <c r="F1" s="85"/>
      <c r="G1" s="63"/>
    </row>
    <row r="2" spans="1:11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11" ht="12.75" customHeight="1">
      <c r="B3" s="137"/>
      <c r="C3" s="138"/>
      <c r="D3" s="138"/>
      <c r="E3" s="138"/>
      <c r="F3" s="138"/>
      <c r="G3" s="138"/>
      <c r="H3" s="138"/>
    </row>
    <row r="4" spans="1:11" ht="12.75" customHeight="1">
      <c r="B4" s="137"/>
      <c r="C4" s="138"/>
      <c r="D4" s="138"/>
      <c r="E4" s="138"/>
      <c r="F4" s="138"/>
      <c r="G4" s="138"/>
      <c r="H4" s="138"/>
    </row>
    <row r="5" spans="1:11" ht="12.75" customHeight="1">
      <c r="B5" s="139"/>
      <c r="C5" s="140"/>
      <c r="D5" s="140"/>
      <c r="E5" s="140"/>
      <c r="F5" s="140"/>
      <c r="G5" s="140"/>
      <c r="H5" s="140"/>
    </row>
    <row r="6" spans="1:11" s="8" customFormat="1" ht="3.75" customHeight="1">
      <c r="B6" s="76"/>
      <c r="C6" s="83"/>
      <c r="F6" s="85"/>
      <c r="G6" s="63"/>
    </row>
    <row r="7" spans="1:11" ht="21">
      <c r="A7" s="61"/>
      <c r="B7" s="149" t="s">
        <v>95</v>
      </c>
      <c r="C7" s="150"/>
      <c r="D7" s="150"/>
      <c r="E7" s="71"/>
      <c r="F7" s="71"/>
      <c r="G7" s="135">
        <f>D8+D9+D10+G8+G9+G10</f>
        <v>0</v>
      </c>
      <c r="H7" s="136"/>
    </row>
    <row r="8" spans="1:11" ht="15.6">
      <c r="A8" s="61"/>
      <c r="B8" s="148" t="s">
        <v>90</v>
      </c>
      <c r="C8" s="148"/>
      <c r="D8" s="65"/>
      <c r="E8" s="147" t="s">
        <v>93</v>
      </c>
      <c r="F8" s="148"/>
      <c r="G8" s="141"/>
      <c r="H8" s="142"/>
      <c r="K8" s="92"/>
    </row>
    <row r="9" spans="1:11" ht="15.6">
      <c r="A9" s="61"/>
      <c r="B9" s="146" t="s">
        <v>91</v>
      </c>
      <c r="C9" s="146"/>
      <c r="D9" s="64"/>
      <c r="E9" s="145" t="s">
        <v>94</v>
      </c>
      <c r="F9" s="146"/>
      <c r="G9" s="143"/>
      <c r="H9" s="144"/>
      <c r="K9" s="92"/>
    </row>
    <row r="10" spans="1:11" s="8" customFormat="1" ht="15.6">
      <c r="A10" s="61"/>
      <c r="B10" s="148" t="s">
        <v>92</v>
      </c>
      <c r="C10" s="148"/>
      <c r="D10" s="65"/>
      <c r="E10" s="145" t="s">
        <v>96</v>
      </c>
      <c r="F10" s="146"/>
      <c r="G10" s="141"/>
      <c r="H10" s="142"/>
    </row>
    <row r="11" spans="1:11" s="8" customFormat="1" ht="4.5" customHeight="1">
      <c r="B11" s="76"/>
      <c r="C11" s="83"/>
      <c r="F11" s="84"/>
      <c r="G11" s="84"/>
    </row>
    <row r="12" spans="1:11" ht="18">
      <c r="B12" s="67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11" ht="13.8">
      <c r="B13" s="74"/>
      <c r="C13" s="68"/>
      <c r="D13" s="1"/>
      <c r="E13" s="62" t="str">
        <f>IF(ISERROR(VLOOKUP(D13,Categorias!A:B,2,0)),"",VLOOKUP(D13,Categorias!A:B,2,0))</f>
        <v/>
      </c>
      <c r="F13" s="80"/>
      <c r="G13" s="5"/>
      <c r="H13" s="78">
        <f>G7+F13-G13</f>
        <v>0</v>
      </c>
    </row>
    <row r="14" spans="1:11" ht="9.75" customHeight="1">
      <c r="B14" s="74"/>
      <c r="C14" s="68"/>
      <c r="D14" s="1"/>
      <c r="E14" s="1" t="str">
        <f>IF(ISERROR(VLOOKUP(D14,Categorias!A:B,2,0)),"",VLOOKUP(D14,Categorias!A:B,2,0))</f>
        <v/>
      </c>
      <c r="F14" s="80"/>
      <c r="G14" s="5"/>
      <c r="H14" s="79">
        <f t="shared" ref="H14:H80" si="0">H13+F14-G14</f>
        <v>0</v>
      </c>
    </row>
    <row r="15" spans="1:11" ht="13.8">
      <c r="B15" s="74"/>
      <c r="C15" s="68"/>
      <c r="D15" s="1"/>
      <c r="E15" s="1" t="str">
        <f>IF(ISERROR(VLOOKUP(D15,Categorias!A:B,2,0)),"",VLOOKUP(D15,Categorias!A:B,2,0))</f>
        <v/>
      </c>
      <c r="F15" s="80"/>
      <c r="G15" s="5"/>
      <c r="H15" s="79">
        <f t="shared" si="0"/>
        <v>0</v>
      </c>
    </row>
    <row r="16" spans="1:11" ht="13.8">
      <c r="B16" s="74"/>
      <c r="C16" s="68"/>
      <c r="D16" s="1"/>
      <c r="E16" s="1" t="str">
        <f>IF(ISERROR(VLOOKUP(D16,Categorias!A:B,2,0)),"",VLOOKUP(D16,Categorias!A:B,2,0))</f>
        <v/>
      </c>
      <c r="F16" s="80"/>
      <c r="G16" s="5"/>
      <c r="H16" s="79">
        <f t="shared" si="0"/>
        <v>0</v>
      </c>
    </row>
    <row r="17" spans="2:9" ht="13.8">
      <c r="B17" s="74"/>
      <c r="C17" s="68"/>
      <c r="D17" s="1"/>
      <c r="E17" s="1" t="str">
        <f>IF(ISERROR(VLOOKUP(D17,Categorias!A:B,2,0)),"",VLOOKUP(D17,Categorias!A:B,2,0))</f>
        <v/>
      </c>
      <c r="F17" s="80"/>
      <c r="G17" s="5"/>
      <c r="H17" s="79">
        <f t="shared" si="0"/>
        <v>0</v>
      </c>
    </row>
    <row r="18" spans="2:9" ht="13.8">
      <c r="B18" s="74"/>
      <c r="C18" s="68"/>
      <c r="D18" s="1"/>
      <c r="E18" s="1" t="str">
        <f>IF(ISERROR(VLOOKUP(D18,Categorias!A:B,2,0)),"",VLOOKUP(D18,Categorias!A:B,2,0))</f>
        <v/>
      </c>
      <c r="F18" s="80"/>
      <c r="G18" s="5"/>
      <c r="H18" s="79">
        <f t="shared" si="0"/>
        <v>0</v>
      </c>
      <c r="I18" s="2"/>
    </row>
    <row r="19" spans="2:9" ht="13.8">
      <c r="B19" s="74"/>
      <c r="C19" s="68"/>
      <c r="D19" s="1"/>
      <c r="E19" s="1"/>
      <c r="F19" s="80"/>
      <c r="G19" s="5"/>
      <c r="H19" s="79">
        <f t="shared" si="0"/>
        <v>0</v>
      </c>
      <c r="I19" s="2"/>
    </row>
    <row r="20" spans="2:9" ht="13.8">
      <c r="B20" s="74"/>
      <c r="C20" s="68"/>
      <c r="D20" s="1"/>
      <c r="E20" s="1" t="str">
        <f>IF(ISERROR(VLOOKUP(D20,Categorias!A:B,2,0)),"",VLOOKUP(D20,Categorias!A:B,2,0))</f>
        <v/>
      </c>
      <c r="F20" s="80"/>
      <c r="G20" s="5"/>
      <c r="H20" s="79">
        <f t="shared" si="0"/>
        <v>0</v>
      </c>
    </row>
    <row r="21" spans="2:9" ht="13.8">
      <c r="B21" s="74"/>
      <c r="C21" s="68"/>
      <c r="D21" s="1"/>
      <c r="E21" s="1" t="str">
        <f>IF(ISERROR(VLOOKUP(D21,Categorias!A:B,2,0)),"",VLOOKUP(D21,Categorias!A:B,2,0))</f>
        <v/>
      </c>
      <c r="F21" s="80"/>
      <c r="G21" s="5"/>
      <c r="H21" s="79">
        <f t="shared" si="0"/>
        <v>0</v>
      </c>
      <c r="I21" s="2"/>
    </row>
    <row r="22" spans="2:9" ht="13.8">
      <c r="B22" s="74"/>
      <c r="C22" s="68"/>
      <c r="D22" s="1"/>
      <c r="E22" s="1" t="str">
        <f>IF(ISERROR(VLOOKUP(D22,Categorias!A:B,2,0)),"",VLOOKUP(D22,Categorias!A:B,2,0))</f>
        <v/>
      </c>
      <c r="F22" s="80"/>
      <c r="G22" s="5"/>
      <c r="H22" s="79">
        <f t="shared" si="0"/>
        <v>0</v>
      </c>
    </row>
    <row r="23" spans="2:9" ht="13.8">
      <c r="B23" s="74"/>
      <c r="C23" s="68"/>
      <c r="D23" s="1"/>
      <c r="E23" s="1" t="str">
        <f>IF(ISERROR(VLOOKUP(D23,Categorias!A:B,2,0)),"",VLOOKUP(D23,Categorias!A:B,2,0))</f>
        <v/>
      </c>
      <c r="F23" s="80"/>
      <c r="G23" s="5"/>
      <c r="H23" s="79">
        <f t="shared" si="0"/>
        <v>0</v>
      </c>
    </row>
    <row r="24" spans="2:9" ht="13.8">
      <c r="B24" s="74"/>
      <c r="C24" s="68"/>
      <c r="D24" s="1"/>
      <c r="E24" s="1" t="str">
        <f>IF(ISERROR(VLOOKUP(D24,Categorias!A:B,2,0)),"",VLOOKUP(D24,Categorias!A:B,2,0))</f>
        <v/>
      </c>
      <c r="F24" s="80"/>
      <c r="G24" s="5"/>
      <c r="H24" s="79">
        <f t="shared" si="0"/>
        <v>0</v>
      </c>
    </row>
    <row r="25" spans="2:9" ht="13.8">
      <c r="B25" s="74"/>
      <c r="C25" s="68"/>
      <c r="D25" s="1"/>
      <c r="E25" s="1" t="str">
        <f>IF(ISERROR(VLOOKUP(D25,Categorias!A:B,2,0)),"",VLOOKUP(D25,Categorias!A:B,2,0))</f>
        <v/>
      </c>
      <c r="F25" s="80"/>
      <c r="G25" s="5"/>
      <c r="H25" s="79">
        <f t="shared" si="0"/>
        <v>0</v>
      </c>
    </row>
    <row r="26" spans="2:9" ht="13.8">
      <c r="B26" s="74"/>
      <c r="C26" s="68"/>
      <c r="D26" s="1"/>
      <c r="E26" s="1" t="str">
        <f>IF(ISERROR(VLOOKUP(D26,Categorias!A:B,2,0)),"",VLOOKUP(D26,Categorias!A:B,2,0))</f>
        <v/>
      </c>
      <c r="F26" s="80"/>
      <c r="G26" s="5"/>
      <c r="H26" s="79">
        <f t="shared" si="0"/>
        <v>0</v>
      </c>
      <c r="I26" s="2"/>
    </row>
    <row r="27" spans="2:9" ht="13.8">
      <c r="B27" s="74"/>
      <c r="C27" s="68"/>
      <c r="D27" s="1"/>
      <c r="E27" s="1" t="str">
        <f>IF(ISERROR(VLOOKUP(D27,Categorias!A:B,2,0)),"",VLOOKUP(D27,Categorias!A:B,2,0))</f>
        <v/>
      </c>
      <c r="F27" s="80"/>
      <c r="G27" s="5"/>
      <c r="H27" s="79">
        <f t="shared" si="0"/>
        <v>0</v>
      </c>
    </row>
    <row r="28" spans="2:9" ht="13.8">
      <c r="B28" s="74"/>
      <c r="C28" s="68"/>
      <c r="D28" s="1"/>
      <c r="E28" s="1" t="str">
        <f>IF(ISERROR(VLOOKUP(D28,Categorias!A:B,2,0)),"",VLOOKUP(D28,Categorias!A:B,2,0))</f>
        <v/>
      </c>
      <c r="F28" s="80"/>
      <c r="G28" s="5"/>
      <c r="H28" s="79">
        <f t="shared" si="0"/>
        <v>0</v>
      </c>
    </row>
    <row r="29" spans="2:9" ht="13.8">
      <c r="B29" s="74"/>
      <c r="C29" s="68"/>
      <c r="D29" s="1"/>
      <c r="E29" s="1" t="str">
        <f>IF(ISERROR(VLOOKUP(D29,Categorias!A:B,2,0)),"",VLOOKUP(D29,Categorias!A:B,2,0))</f>
        <v/>
      </c>
      <c r="F29" s="80"/>
      <c r="G29" s="5"/>
      <c r="H29" s="79">
        <f t="shared" si="0"/>
        <v>0</v>
      </c>
    </row>
    <row r="30" spans="2:9" ht="13.8">
      <c r="B30" s="74"/>
      <c r="C30" s="68"/>
      <c r="D30" s="1"/>
      <c r="E30" s="1" t="str">
        <f>IF(ISERROR(VLOOKUP(D30,Categorias!A:B,2,0)),"",VLOOKUP(D30,Categorias!A:B,2,0))</f>
        <v/>
      </c>
      <c r="F30" s="80"/>
      <c r="G30" s="5"/>
      <c r="H30" s="79">
        <f t="shared" si="0"/>
        <v>0</v>
      </c>
      <c r="I30" s="2"/>
    </row>
    <row r="31" spans="2:9" ht="13.8">
      <c r="B31" s="74"/>
      <c r="C31" s="68"/>
      <c r="D31" s="1"/>
      <c r="E31" s="1" t="str">
        <f>IF(ISERROR(VLOOKUP(D31,Categorias!A:B,2,0)),"",VLOOKUP(D31,Categorias!A:B,2,0))</f>
        <v/>
      </c>
      <c r="F31" s="80"/>
      <c r="G31" s="5"/>
      <c r="H31" s="79">
        <f t="shared" si="0"/>
        <v>0</v>
      </c>
      <c r="I31" s="2"/>
    </row>
    <row r="32" spans="2:9" ht="13.8">
      <c r="B32" s="74"/>
      <c r="C32" s="68"/>
      <c r="D32" s="1"/>
      <c r="E32" s="1" t="str">
        <f>IF(ISERROR(VLOOKUP(D32,Categorias!A:B,2,0)),"",VLOOKUP(D32,Categorias!A:B,2,0))</f>
        <v/>
      </c>
      <c r="F32" s="80"/>
      <c r="G32" s="5"/>
      <c r="H32" s="79">
        <f t="shared" si="0"/>
        <v>0</v>
      </c>
    </row>
    <row r="33" spans="2:9" ht="13.8">
      <c r="B33" s="74"/>
      <c r="C33" s="68"/>
      <c r="D33" s="1"/>
      <c r="E33" s="1" t="str">
        <f>IF(ISERROR(VLOOKUP(D33,Categorias!A:B,2,0)),"",VLOOKUP(D33,Categorias!A:B,2,0))</f>
        <v/>
      </c>
      <c r="F33" s="80"/>
      <c r="G33" s="5"/>
      <c r="H33" s="79">
        <f t="shared" si="0"/>
        <v>0</v>
      </c>
    </row>
    <row r="34" spans="2:9" ht="13.8">
      <c r="B34" s="74"/>
      <c r="C34" s="68"/>
      <c r="D34" s="1"/>
      <c r="E34" s="1" t="str">
        <f>IF(ISERROR(VLOOKUP(D34,Categorias!A:B,2,0)),"",VLOOKUP(D34,Categorias!A:B,2,0))</f>
        <v/>
      </c>
      <c r="F34" s="80"/>
      <c r="G34" s="5"/>
      <c r="H34" s="79">
        <f t="shared" si="0"/>
        <v>0</v>
      </c>
    </row>
    <row r="35" spans="2:9" ht="13.8">
      <c r="B35" s="74"/>
      <c r="C35" s="68"/>
      <c r="D35" s="1"/>
      <c r="E35" s="1" t="str">
        <f>IF(ISERROR(VLOOKUP(D35,Categorias!A:B,2,0)),"",VLOOKUP(D35,Categorias!A:B,2,0))</f>
        <v/>
      </c>
      <c r="F35" s="80"/>
      <c r="G35" s="5"/>
      <c r="H35" s="79">
        <f t="shared" si="0"/>
        <v>0</v>
      </c>
    </row>
    <row r="36" spans="2:9" ht="13.8">
      <c r="B36" s="74"/>
      <c r="C36" s="68"/>
      <c r="D36" s="1"/>
      <c r="E36" s="1" t="str">
        <f>IF(ISERROR(VLOOKUP(D36,Categorias!A:B,2,0)),"",VLOOKUP(D36,Categorias!A:B,2,0))</f>
        <v/>
      </c>
      <c r="F36" s="80"/>
      <c r="G36" s="5"/>
      <c r="H36" s="79">
        <f t="shared" si="0"/>
        <v>0</v>
      </c>
    </row>
    <row r="37" spans="2:9" ht="13.8">
      <c r="B37" s="75"/>
      <c r="C37" s="70"/>
      <c r="D37" s="1"/>
      <c r="E37" s="1" t="str">
        <f>IF(ISERROR(VLOOKUP(D37,Categorias!A:B,2,0)),"",VLOOKUP(D37,Categorias!A:B,2,0))</f>
        <v/>
      </c>
      <c r="F37" s="80"/>
      <c r="G37" s="5"/>
      <c r="H37" s="79">
        <f t="shared" si="0"/>
        <v>0</v>
      </c>
      <c r="I37" s="2"/>
    </row>
    <row r="38" spans="2:9" ht="13.8">
      <c r="B38" s="75"/>
      <c r="C38" s="68"/>
      <c r="D38" s="1"/>
      <c r="E38" s="1" t="str">
        <f>IF(ISERROR(VLOOKUP(D38,Categorias!A:B,2,0)),"",VLOOKUP(D38,Categorias!A:B,2,0))</f>
        <v/>
      </c>
      <c r="F38" s="80"/>
      <c r="G38" s="5"/>
      <c r="H38" s="79">
        <f t="shared" si="0"/>
        <v>0</v>
      </c>
    </row>
    <row r="39" spans="2:9" ht="13.8">
      <c r="B39" s="75"/>
      <c r="C39" s="68"/>
      <c r="D39" s="1"/>
      <c r="E39" s="1" t="str">
        <f>IF(ISERROR(VLOOKUP(D39,Categorias!A:B,2,0)),"",VLOOKUP(D39,Categorias!A:B,2,0))</f>
        <v/>
      </c>
      <c r="F39" s="80"/>
      <c r="G39" s="5"/>
      <c r="H39" s="79">
        <f t="shared" si="0"/>
        <v>0</v>
      </c>
    </row>
    <row r="40" spans="2:9" ht="13.8">
      <c r="B40" s="75"/>
      <c r="C40" s="68"/>
      <c r="D40" s="1"/>
      <c r="E40" s="1" t="str">
        <f>IF(ISERROR(VLOOKUP(D40,Categorias!A:B,2,0)),"",VLOOKUP(D40,Categorias!A:B,2,0))</f>
        <v/>
      </c>
      <c r="F40" s="80"/>
      <c r="G40" s="5"/>
      <c r="H40" s="79">
        <f t="shared" si="0"/>
        <v>0</v>
      </c>
    </row>
    <row r="41" spans="2:9" ht="13.8">
      <c r="B41" s="75"/>
      <c r="C41" s="70"/>
      <c r="D41" s="1"/>
      <c r="E41" s="1" t="str">
        <f>IF(ISERROR(VLOOKUP(D41,Categorias!A:B,2,0)),"",VLOOKUP(D41,Categorias!A:B,2,0))</f>
        <v/>
      </c>
      <c r="F41" s="80"/>
      <c r="G41" s="5"/>
      <c r="H41" s="79">
        <f t="shared" si="0"/>
        <v>0</v>
      </c>
      <c r="I41" s="2"/>
    </row>
    <row r="42" spans="2:9" ht="13.8">
      <c r="B42" s="75"/>
      <c r="C42" s="70"/>
      <c r="D42" s="1"/>
      <c r="E42" s="1" t="str">
        <f>IF(ISERROR(VLOOKUP(D42,Categorias!A:B,2,0)),"",VLOOKUP(D42,Categorias!A:B,2,0))</f>
        <v/>
      </c>
      <c r="F42" s="80"/>
      <c r="G42" s="5"/>
      <c r="H42" s="79">
        <f t="shared" si="0"/>
        <v>0</v>
      </c>
      <c r="I42" s="2"/>
    </row>
    <row r="43" spans="2:9" ht="13.8">
      <c r="B43" s="75"/>
      <c r="C43" s="68"/>
      <c r="D43" s="1"/>
      <c r="E43" s="1" t="str">
        <f>IF(ISERROR(VLOOKUP(D43,Categorias!A:B,2,0)),"",VLOOKUP(D43,Categorias!A:B,2,0))</f>
        <v/>
      </c>
      <c r="F43" s="80"/>
      <c r="G43" s="5"/>
      <c r="H43" s="79">
        <f t="shared" si="0"/>
        <v>0</v>
      </c>
    </row>
    <row r="44" spans="2:9" ht="13.8">
      <c r="B44" s="75"/>
      <c r="C44" s="68"/>
      <c r="D44" s="1"/>
      <c r="E44" s="1" t="str">
        <f>IF(ISERROR(VLOOKUP(D44,Categorias!A:B,2,0)),"",VLOOKUP(D44,Categorias!A:B,2,0))</f>
        <v/>
      </c>
      <c r="F44" s="80"/>
      <c r="G44" s="5"/>
      <c r="H44" s="79">
        <f t="shared" si="0"/>
        <v>0</v>
      </c>
    </row>
    <row r="45" spans="2:9" ht="13.8">
      <c r="B45" s="75"/>
      <c r="C45" s="70"/>
      <c r="D45" s="1"/>
      <c r="E45" s="1" t="str">
        <f>IF(ISERROR(VLOOKUP(D45,Categorias!A:B,2,0)),"",VLOOKUP(D45,Categorias!A:B,2,0))</f>
        <v/>
      </c>
      <c r="F45" s="80"/>
      <c r="G45" s="5"/>
      <c r="H45" s="79">
        <f t="shared" si="0"/>
        <v>0</v>
      </c>
      <c r="I45" s="2"/>
    </row>
    <row r="46" spans="2:9" ht="13.8">
      <c r="B46" s="75"/>
      <c r="C46" s="70"/>
      <c r="D46" s="1"/>
      <c r="E46" s="1" t="str">
        <f>IF(ISERROR(VLOOKUP(D46,Categorias!A:B,2,0)),"",VLOOKUP(D46,Categorias!A:B,2,0))</f>
        <v/>
      </c>
      <c r="F46" s="80"/>
      <c r="G46" s="5"/>
      <c r="H46" s="79">
        <f t="shared" si="0"/>
        <v>0</v>
      </c>
    </row>
    <row r="47" spans="2:9" ht="13.8">
      <c r="B47" s="75"/>
      <c r="C47" s="68"/>
      <c r="D47" s="1"/>
      <c r="E47" s="1" t="str">
        <f>IF(ISERROR(VLOOKUP(D47,Categorias!A:B,2,0)),"",VLOOKUP(D47,Categorias!A:B,2,0))</f>
        <v/>
      </c>
      <c r="F47" s="80"/>
      <c r="G47" s="5"/>
      <c r="H47" s="79">
        <f t="shared" si="0"/>
        <v>0</v>
      </c>
    </row>
    <row r="48" spans="2:9" ht="13.8">
      <c r="B48" s="75"/>
      <c r="C48" s="70"/>
      <c r="D48" s="1"/>
      <c r="E48" s="1" t="str">
        <f>IF(ISERROR(VLOOKUP(D48,Categorias!A:B,2,0)),"",VLOOKUP(D48,Categorias!A:B,2,0))</f>
        <v/>
      </c>
      <c r="F48" s="80"/>
      <c r="G48" s="5"/>
      <c r="H48" s="79">
        <f t="shared" si="0"/>
        <v>0</v>
      </c>
    </row>
    <row r="49" spans="2:10" ht="13.8">
      <c r="B49" s="75"/>
      <c r="C49" s="70"/>
      <c r="D49" s="1"/>
      <c r="E49" s="1" t="str">
        <f>IF(ISERROR(VLOOKUP(D49,Categorias!A:B,2,0)),"",VLOOKUP(D49,Categorias!A:B,2,0))</f>
        <v/>
      </c>
      <c r="F49" s="80"/>
      <c r="G49" s="5"/>
      <c r="H49" s="79">
        <f t="shared" si="0"/>
        <v>0</v>
      </c>
      <c r="I49" s="2"/>
    </row>
    <row r="50" spans="2:10" ht="13.8">
      <c r="B50" s="75"/>
      <c r="C50" s="70"/>
      <c r="D50" s="1"/>
      <c r="E50" s="1" t="str">
        <f>IF(ISERROR(VLOOKUP(D50,Categorias!A:B,2,0)),"",VLOOKUP(D50,Categorias!A:B,2,0))</f>
        <v/>
      </c>
      <c r="F50" s="80"/>
      <c r="G50" s="5"/>
      <c r="H50" s="79">
        <f t="shared" si="0"/>
        <v>0</v>
      </c>
      <c r="I50" s="2"/>
    </row>
    <row r="51" spans="2:10" ht="13.8">
      <c r="B51" s="75"/>
      <c r="C51" s="68"/>
      <c r="D51" s="1"/>
      <c r="E51" s="1" t="str">
        <f>IF(ISERROR(VLOOKUP(D51,Categorias!A:B,2,0)),"",VLOOKUP(D51,Categorias!A:B,2,0))</f>
        <v/>
      </c>
      <c r="F51" s="80"/>
      <c r="G51" s="5"/>
      <c r="H51" s="79">
        <f t="shared" si="0"/>
        <v>0</v>
      </c>
    </row>
    <row r="52" spans="2:10" ht="13.8">
      <c r="B52" s="75"/>
      <c r="C52" s="68"/>
      <c r="D52" s="1"/>
      <c r="E52" s="1" t="str">
        <f>IF(ISERROR(VLOOKUP(D52,Categorias!A:B,2,0)),"",VLOOKUP(D52,Categorias!A:B,2,0))</f>
        <v/>
      </c>
      <c r="F52" s="80"/>
      <c r="G52" s="5"/>
      <c r="H52" s="79">
        <f t="shared" si="0"/>
        <v>0</v>
      </c>
    </row>
    <row r="53" spans="2:10" ht="13.8">
      <c r="B53" s="75"/>
      <c r="C53" s="70"/>
      <c r="D53" s="1"/>
      <c r="E53" s="1" t="str">
        <f>IF(ISERROR(VLOOKUP(D53,Categorias!A:B,2,0)),"",VLOOKUP(D53,Categorias!A:B,2,0))</f>
        <v/>
      </c>
      <c r="F53" s="80"/>
      <c r="G53" s="5"/>
      <c r="H53" s="79">
        <f t="shared" si="0"/>
        <v>0</v>
      </c>
    </row>
    <row r="54" spans="2:10" ht="13.8">
      <c r="B54" s="75"/>
      <c r="C54" s="68"/>
      <c r="D54" s="1"/>
      <c r="E54" s="1" t="str">
        <f>IF(ISERROR(VLOOKUP(D54,Categorias!A:B,2,0)),"",VLOOKUP(D54,Categorias!A:B,2,0))</f>
        <v/>
      </c>
      <c r="F54" s="80"/>
      <c r="G54" s="5"/>
      <c r="H54" s="79">
        <f t="shared" si="0"/>
        <v>0</v>
      </c>
    </row>
    <row r="55" spans="2:10" ht="13.8">
      <c r="B55" s="75"/>
      <c r="C55" s="68"/>
      <c r="D55" s="1"/>
      <c r="E55" s="1" t="str">
        <f>IF(ISERROR(VLOOKUP(D55,Categorias!A:B,2,0)),"",VLOOKUP(D55,Categorias!A:B,2,0))</f>
        <v/>
      </c>
      <c r="F55" s="80"/>
      <c r="G55" s="5"/>
      <c r="H55" s="79">
        <f t="shared" si="0"/>
        <v>0</v>
      </c>
    </row>
    <row r="56" spans="2:10" ht="13.8">
      <c r="B56" s="75"/>
      <c r="C56" s="70"/>
      <c r="D56" s="1"/>
      <c r="E56" s="1" t="str">
        <f>IF(ISERROR(VLOOKUP(D56,Categorias!A:B,2,0)),"",VLOOKUP(D56,Categorias!A:B,2,0))</f>
        <v/>
      </c>
      <c r="F56" s="80"/>
      <c r="G56" s="5"/>
      <c r="H56" s="79">
        <f t="shared" si="0"/>
        <v>0</v>
      </c>
    </row>
    <row r="57" spans="2:10" ht="13.8">
      <c r="B57" s="75"/>
      <c r="C57" s="68"/>
      <c r="D57" s="1"/>
      <c r="E57" s="1" t="str">
        <f>IF(ISERROR(VLOOKUP(D57,Categorias!A:B,2,0)),"",VLOOKUP(D57,Categorias!A:B,2,0))</f>
        <v/>
      </c>
      <c r="F57" s="80"/>
      <c r="G57" s="5"/>
      <c r="H57" s="79">
        <f t="shared" si="0"/>
        <v>0</v>
      </c>
    </row>
    <row r="58" spans="2:10" ht="13.8">
      <c r="B58" s="75"/>
      <c r="C58" s="68"/>
      <c r="D58" s="1"/>
      <c r="E58" s="1" t="str">
        <f>IF(ISERROR(VLOOKUP(D58,Categorias!A:B,2,0)),"",VLOOKUP(D58,Categorias!A:B,2,0))</f>
        <v/>
      </c>
      <c r="F58" s="80"/>
      <c r="G58" s="5"/>
      <c r="H58" s="79">
        <f t="shared" si="0"/>
        <v>0</v>
      </c>
      <c r="J58" s="92"/>
    </row>
    <row r="59" spans="2:10" ht="13.8">
      <c r="B59" s="75"/>
      <c r="C59" s="70"/>
      <c r="D59" s="1"/>
      <c r="E59" s="1" t="str">
        <f>IF(ISERROR(VLOOKUP(D59,Categorias!A:B,2,0)),"",VLOOKUP(D59,Categorias!A:B,2,0))</f>
        <v/>
      </c>
      <c r="F59" s="80"/>
      <c r="G59" s="5"/>
      <c r="H59" s="79">
        <f t="shared" si="0"/>
        <v>0</v>
      </c>
      <c r="I59" s="2"/>
    </row>
    <row r="60" spans="2:10" ht="13.8">
      <c r="B60" s="75"/>
      <c r="C60" s="68"/>
      <c r="D60" s="1"/>
      <c r="E60" s="1" t="str">
        <f>IF(ISERROR(VLOOKUP(D60,Categorias!A:B,2,0)),"",VLOOKUP(D60,Categorias!A:B,2,0))</f>
        <v/>
      </c>
      <c r="F60" s="80"/>
      <c r="G60" s="5"/>
      <c r="H60" s="79">
        <f t="shared" si="0"/>
        <v>0</v>
      </c>
    </row>
    <row r="61" spans="2:10" ht="13.8">
      <c r="B61" s="75"/>
      <c r="C61" s="68"/>
      <c r="D61" s="1"/>
      <c r="E61" s="1" t="str">
        <f>IF(ISERROR(VLOOKUP(D61,Categorias!A:B,2,0)),"",VLOOKUP(D61,Categorias!A:B,2,0))</f>
        <v/>
      </c>
      <c r="F61" s="80"/>
      <c r="G61" s="5"/>
      <c r="H61" s="79">
        <f t="shared" si="0"/>
        <v>0</v>
      </c>
    </row>
    <row r="62" spans="2:10" ht="13.8">
      <c r="B62" s="75"/>
      <c r="C62" s="68"/>
      <c r="D62" s="1"/>
      <c r="E62" s="1" t="str">
        <f>IF(ISERROR(VLOOKUP(D62,Categorias!A:B,2,0)),"",VLOOKUP(D62,Categorias!A:B,2,0))</f>
        <v/>
      </c>
      <c r="F62" s="80"/>
      <c r="G62" s="5"/>
      <c r="H62" s="79">
        <f t="shared" si="0"/>
        <v>0</v>
      </c>
    </row>
    <row r="63" spans="2:10" ht="13.8">
      <c r="B63" s="75"/>
      <c r="C63" s="70"/>
      <c r="D63" s="1"/>
      <c r="E63" s="1" t="str">
        <f>IF(ISERROR(VLOOKUP(D63,Categorias!A:B,2,0)),"",VLOOKUP(D63,Categorias!A:B,2,0))</f>
        <v/>
      </c>
      <c r="F63" s="80"/>
      <c r="G63" s="5"/>
      <c r="H63" s="79">
        <f t="shared" si="0"/>
        <v>0</v>
      </c>
      <c r="I63" s="2"/>
    </row>
    <row r="64" spans="2:10" ht="13.8">
      <c r="B64" s="75"/>
      <c r="C64" s="70"/>
      <c r="D64" s="1"/>
      <c r="E64" s="1" t="str">
        <f>IF(ISERROR(VLOOKUP(D64,Categorias!A:B,2,0)),"",VLOOKUP(D64,Categorias!A:B,2,0))</f>
        <v/>
      </c>
      <c r="F64" s="80"/>
      <c r="G64" s="5"/>
      <c r="H64" s="79">
        <f t="shared" si="0"/>
        <v>0</v>
      </c>
      <c r="I64" s="2"/>
    </row>
    <row r="65" spans="2:9" ht="13.8">
      <c r="B65" s="75"/>
      <c r="C65" s="70"/>
      <c r="D65" s="1"/>
      <c r="E65" s="1" t="str">
        <f>IF(ISERROR(VLOOKUP(D65,Categorias!A:B,2,0)),"",VLOOKUP(D65,Categorias!A:B,2,0))</f>
        <v/>
      </c>
      <c r="F65" s="80"/>
      <c r="G65" s="5"/>
      <c r="H65" s="79">
        <f t="shared" si="0"/>
        <v>0</v>
      </c>
      <c r="I65" s="2"/>
    </row>
    <row r="66" spans="2:9" ht="13.8">
      <c r="B66" s="75"/>
      <c r="C66" s="68"/>
      <c r="D66" s="1"/>
      <c r="E66" s="1" t="str">
        <f>IF(ISERROR(VLOOKUP(D66,Categorias!A:B,2,0)),"",VLOOKUP(D66,Categorias!A:B,2,0))</f>
        <v/>
      </c>
      <c r="F66" s="80"/>
      <c r="G66" s="5"/>
      <c r="H66" s="79">
        <f t="shared" si="0"/>
        <v>0</v>
      </c>
    </row>
    <row r="67" spans="2:9" ht="13.8">
      <c r="B67" s="75"/>
      <c r="C67" s="70"/>
      <c r="D67" s="1"/>
      <c r="E67" s="1" t="str">
        <f>IF(ISERROR(VLOOKUP(D67,Categorias!A:B,2,0)),"",VLOOKUP(D67,Categorias!A:B,2,0))</f>
        <v/>
      </c>
      <c r="F67" s="80"/>
      <c r="G67" s="5"/>
      <c r="H67" s="79">
        <f t="shared" si="0"/>
        <v>0</v>
      </c>
      <c r="I67" s="2"/>
    </row>
    <row r="68" spans="2:9" ht="13.8">
      <c r="B68" s="75"/>
      <c r="C68" s="70"/>
      <c r="D68" s="1"/>
      <c r="E68" s="1" t="str">
        <f>IF(ISERROR(VLOOKUP(D68,Categorias!A:B,2,0)),"",VLOOKUP(D68,Categorias!A:B,2,0))</f>
        <v/>
      </c>
      <c r="F68" s="80"/>
      <c r="G68" s="5"/>
      <c r="H68" s="79">
        <f t="shared" si="0"/>
        <v>0</v>
      </c>
      <c r="I68" s="2"/>
    </row>
    <row r="69" spans="2:9" ht="13.8">
      <c r="B69" s="91"/>
      <c r="C69" s="70"/>
      <c r="D69" s="1"/>
      <c r="E69" s="1" t="str">
        <f>IF(ISERROR(VLOOKUP(D69,Categorias!A:B,2,0)),"",VLOOKUP(D69,Categorias!A:B,2,0))</f>
        <v/>
      </c>
      <c r="F69" s="80"/>
      <c r="G69" s="5"/>
      <c r="H69" s="79">
        <f t="shared" si="0"/>
        <v>0</v>
      </c>
    </row>
    <row r="70" spans="2:9" ht="13.8">
      <c r="D70" s="1"/>
      <c r="E70" s="1" t="str">
        <f>IF(ISERROR(VLOOKUP(D70,Categorias!A:B,2,0)),"",VLOOKUP(D70,Categorias!A:B,2,0))</f>
        <v/>
      </c>
      <c r="F70" s="80"/>
      <c r="G70" s="5"/>
      <c r="H70" s="79">
        <f t="shared" si="0"/>
        <v>0</v>
      </c>
    </row>
    <row r="71" spans="2:9" ht="13.8">
      <c r="D71" s="1"/>
      <c r="E71" s="1" t="str">
        <f>IF(ISERROR(VLOOKUP(D71,Categorias!A:B,2,0)),"",VLOOKUP(D71,Categorias!A:B,2,0))</f>
        <v/>
      </c>
      <c r="F71" s="80"/>
      <c r="G71" s="5"/>
      <c r="H71" s="79">
        <f t="shared" si="0"/>
        <v>0</v>
      </c>
    </row>
    <row r="72" spans="2:9" ht="13.8">
      <c r="D72" s="1"/>
      <c r="E72" s="1" t="str">
        <f>IF(ISERROR(VLOOKUP(D72,Categorias!A:B,2,0)),"",VLOOKUP(D72,Categorias!A:B,2,0))</f>
        <v/>
      </c>
      <c r="F72" s="80"/>
      <c r="G72" s="5"/>
      <c r="H72" s="79">
        <f t="shared" si="0"/>
        <v>0</v>
      </c>
    </row>
    <row r="73" spans="2:9" ht="13.8">
      <c r="D73" s="1"/>
      <c r="E73" s="1" t="str">
        <f>IF(ISERROR(VLOOKUP(D73,Categorias!A:B,2,0)),"",VLOOKUP(D73,Categorias!A:B,2,0))</f>
        <v/>
      </c>
      <c r="F73" s="80"/>
      <c r="G73" s="5"/>
      <c r="H73" s="79">
        <f t="shared" si="0"/>
        <v>0</v>
      </c>
    </row>
    <row r="74" spans="2:9" ht="13.8">
      <c r="D74" s="1"/>
      <c r="E74" s="1" t="str">
        <f>IF(ISERROR(VLOOKUP(D74,Categorias!A:B,2,0)),"",VLOOKUP(D74,Categorias!A:B,2,0))</f>
        <v/>
      </c>
      <c r="F74" s="80"/>
      <c r="G74" s="5"/>
      <c r="H74" s="79">
        <f t="shared" si="0"/>
        <v>0</v>
      </c>
    </row>
    <row r="75" spans="2:9" ht="13.8">
      <c r="D75" s="1"/>
      <c r="E75" s="1" t="str">
        <f>IF(ISERROR(VLOOKUP(D75,Categorias!A:B,2,0)),"",VLOOKUP(D75,Categorias!A:B,2,0))</f>
        <v/>
      </c>
      <c r="F75" s="80"/>
      <c r="G75" s="5"/>
      <c r="H75" s="79">
        <f t="shared" si="0"/>
        <v>0</v>
      </c>
    </row>
    <row r="76" spans="2:9" ht="13.8">
      <c r="D76" s="1"/>
      <c r="E76" s="1" t="str">
        <f>IF(ISERROR(VLOOKUP(D76,Categorias!A:B,2,0)),"",VLOOKUP(D76,Categorias!A:B,2,0))</f>
        <v/>
      </c>
      <c r="F76" s="80"/>
      <c r="G76" s="5"/>
      <c r="H76" s="79">
        <f t="shared" si="0"/>
        <v>0</v>
      </c>
    </row>
    <row r="77" spans="2:9" ht="13.8">
      <c r="D77" s="1"/>
      <c r="E77" s="1" t="str">
        <f>IF(ISERROR(VLOOKUP(D77,Categorias!A:B,2,0)),"",VLOOKUP(D77,Categorias!A:B,2,0))</f>
        <v/>
      </c>
      <c r="F77" s="80"/>
      <c r="G77" s="5"/>
      <c r="H77" s="79">
        <f t="shared" si="0"/>
        <v>0</v>
      </c>
    </row>
    <row r="78" spans="2:9" ht="13.8">
      <c r="D78" s="1"/>
      <c r="E78" s="1" t="str">
        <f>IF(ISERROR(VLOOKUP(D78,Categorias!A:B,2,0)),"",VLOOKUP(D78,Categorias!A:B,2,0))</f>
        <v/>
      </c>
      <c r="F78" s="80"/>
      <c r="G78" s="5"/>
      <c r="H78" s="79">
        <f t="shared" si="0"/>
        <v>0</v>
      </c>
    </row>
    <row r="79" spans="2:9" ht="13.8">
      <c r="D79" s="1"/>
      <c r="E79" s="1" t="str">
        <f>IF(ISERROR(VLOOKUP(D79,Categorias!A:B,2,0)),"",VLOOKUP(D79,Categorias!A:B,2,0))</f>
        <v/>
      </c>
      <c r="F79" s="80"/>
      <c r="G79" s="5"/>
      <c r="H79" s="79">
        <f t="shared" si="0"/>
        <v>0</v>
      </c>
    </row>
    <row r="80" spans="2:9" ht="13.8">
      <c r="D80" s="1"/>
      <c r="E80" s="1" t="str">
        <f>IF(ISERROR(VLOOKUP(D80,Categorias!A:B,2,0)),"",VLOOKUP(D80,Categorias!A:B,2,0))</f>
        <v/>
      </c>
      <c r="F80" s="80"/>
      <c r="G80" s="5"/>
      <c r="H80" s="79">
        <f t="shared" si="0"/>
        <v>0</v>
      </c>
    </row>
    <row r="81" spans="4:8" ht="13.8">
      <c r="D81" s="1"/>
      <c r="E81" s="1" t="str">
        <f>IF(ISERROR(VLOOKUP(D81,Categorias!A:B,2,0)),"",VLOOKUP(D81,Categorias!A:B,2,0))</f>
        <v/>
      </c>
      <c r="F81" s="80"/>
      <c r="G81" s="5"/>
      <c r="H81" s="79">
        <f t="shared" ref="H81:H144" si="1">H80+F81-G81</f>
        <v>0</v>
      </c>
    </row>
    <row r="82" spans="4:8" ht="13.8">
      <c r="D82" s="1"/>
      <c r="E82" s="1" t="str">
        <f>IF(ISERROR(VLOOKUP(D82,Categorias!A:B,2,0)),"",VLOOKUP(D82,Categorias!A:B,2,0))</f>
        <v/>
      </c>
      <c r="F82" s="80"/>
      <c r="G82" s="5"/>
      <c r="H82" s="79">
        <f t="shared" si="1"/>
        <v>0</v>
      </c>
    </row>
    <row r="83" spans="4:8" ht="13.8">
      <c r="D83" s="1"/>
      <c r="E83" s="1" t="str">
        <f>IF(ISERROR(VLOOKUP(D83,Categorias!A:B,2,0)),"",VLOOKUP(D83,Categorias!A:B,2,0))</f>
        <v/>
      </c>
      <c r="F83" s="80"/>
      <c r="G83" s="5"/>
      <c r="H83" s="79">
        <f t="shared" si="1"/>
        <v>0</v>
      </c>
    </row>
    <row r="84" spans="4:8" ht="13.8">
      <c r="D84" s="1"/>
      <c r="E84" s="1" t="str">
        <f>IF(ISERROR(VLOOKUP(D84,Categorias!A:B,2,0)),"",VLOOKUP(D84,Categorias!A:B,2,0))</f>
        <v/>
      </c>
      <c r="F84" s="80"/>
      <c r="G84" s="5"/>
      <c r="H84" s="79">
        <f t="shared" si="1"/>
        <v>0</v>
      </c>
    </row>
    <row r="85" spans="4:8" ht="13.8">
      <c r="D85" s="1"/>
      <c r="E85" s="1" t="str">
        <f>IF(ISERROR(VLOOKUP(D85,Categorias!A:B,2,0)),"",VLOOKUP(D85,Categorias!A:B,2,0))</f>
        <v/>
      </c>
      <c r="F85" s="80"/>
      <c r="G85" s="5"/>
      <c r="H85" s="79">
        <f t="shared" si="1"/>
        <v>0</v>
      </c>
    </row>
    <row r="86" spans="4:8" ht="13.8">
      <c r="D86" s="1"/>
      <c r="E86" s="1" t="str">
        <f>IF(ISERROR(VLOOKUP(D86,Categorias!A:B,2,0)),"",VLOOKUP(D86,Categorias!A:B,2,0))</f>
        <v/>
      </c>
      <c r="F86" s="80"/>
      <c r="G86" s="5"/>
      <c r="H86" s="79">
        <f t="shared" si="1"/>
        <v>0</v>
      </c>
    </row>
    <row r="87" spans="4:8" ht="13.8">
      <c r="D87" s="1"/>
      <c r="E87" s="1" t="str">
        <f>IF(ISERROR(VLOOKUP(D87,Categorias!A:B,2,0)),"",VLOOKUP(D87,Categorias!A:B,2,0))</f>
        <v/>
      </c>
      <c r="F87" s="80"/>
      <c r="G87" s="5"/>
      <c r="H87" s="79">
        <f t="shared" si="1"/>
        <v>0</v>
      </c>
    </row>
    <row r="88" spans="4:8" ht="13.8">
      <c r="D88" s="1"/>
      <c r="E88" s="1" t="str">
        <f>IF(ISERROR(VLOOKUP(D88,Categorias!A:B,2,0)),"",VLOOKUP(D88,Categorias!A:B,2,0))</f>
        <v/>
      </c>
      <c r="F88" s="80"/>
      <c r="G88" s="5"/>
      <c r="H88" s="79">
        <f t="shared" si="1"/>
        <v>0</v>
      </c>
    </row>
    <row r="89" spans="4:8" ht="13.8">
      <c r="D89" s="1"/>
      <c r="E89" s="1" t="str">
        <f>IF(ISERROR(VLOOKUP(D89,Categorias!A:B,2,0)),"",VLOOKUP(D89,Categorias!A:B,2,0))</f>
        <v/>
      </c>
      <c r="F89" s="80"/>
      <c r="G89" s="5"/>
      <c r="H89" s="79">
        <f t="shared" si="1"/>
        <v>0</v>
      </c>
    </row>
    <row r="90" spans="4:8" ht="13.8">
      <c r="D90" s="1"/>
      <c r="E90" s="1" t="str">
        <f>IF(ISERROR(VLOOKUP(D90,Categorias!A:B,2,0)),"",VLOOKUP(D90,Categorias!A:B,2,0))</f>
        <v/>
      </c>
      <c r="F90" s="80"/>
      <c r="G90" s="5"/>
      <c r="H90" s="79">
        <f t="shared" si="1"/>
        <v>0</v>
      </c>
    </row>
    <row r="91" spans="4:8" ht="13.8">
      <c r="D91" s="1"/>
      <c r="E91" s="1" t="str">
        <f>IF(ISERROR(VLOOKUP(D91,Categorias!A:B,2,0)),"",VLOOKUP(D91,Categorias!A:B,2,0))</f>
        <v/>
      </c>
      <c r="F91" s="80"/>
      <c r="G91" s="5"/>
      <c r="H91" s="79">
        <f t="shared" si="1"/>
        <v>0</v>
      </c>
    </row>
    <row r="92" spans="4:8" ht="13.8">
      <c r="D92" s="1"/>
      <c r="E92" s="1" t="str">
        <f>IF(ISERROR(VLOOKUP(D92,Categorias!A:B,2,0)),"",VLOOKUP(D92,Categorias!A:B,2,0))</f>
        <v/>
      </c>
      <c r="F92" s="80"/>
      <c r="G92" s="5"/>
      <c r="H92" s="79">
        <f t="shared" si="1"/>
        <v>0</v>
      </c>
    </row>
    <row r="93" spans="4:8" ht="13.8">
      <c r="D93" s="1"/>
      <c r="E93" s="1" t="str">
        <f>IF(ISERROR(VLOOKUP(D93,Categorias!A:B,2,0)),"",VLOOKUP(D93,Categorias!A:B,2,0))</f>
        <v/>
      </c>
      <c r="F93" s="80"/>
      <c r="G93" s="5"/>
      <c r="H93" s="79">
        <f t="shared" si="1"/>
        <v>0</v>
      </c>
    </row>
    <row r="94" spans="4:8" ht="13.8">
      <c r="D94" s="1"/>
      <c r="E94" s="1" t="str">
        <f>IF(ISERROR(VLOOKUP(D94,Categorias!A:B,2,0)),"",VLOOKUP(D94,Categorias!A:B,2,0))</f>
        <v/>
      </c>
      <c r="F94" s="80"/>
      <c r="G94" s="5"/>
      <c r="H94" s="79">
        <f t="shared" si="1"/>
        <v>0</v>
      </c>
    </row>
    <row r="95" spans="4:8" ht="13.8">
      <c r="D95" s="1"/>
      <c r="E95" s="1" t="str">
        <f>IF(ISERROR(VLOOKUP(D95,Categorias!A:B,2,0)),"",VLOOKUP(D95,Categorias!A:B,2,0))</f>
        <v/>
      </c>
      <c r="F95" s="80"/>
      <c r="G95" s="5"/>
      <c r="H95" s="79">
        <f t="shared" si="1"/>
        <v>0</v>
      </c>
    </row>
    <row r="96" spans="4:8" ht="13.8">
      <c r="D96" s="1"/>
      <c r="E96" s="1" t="str">
        <f>IF(ISERROR(VLOOKUP(D96,Categorias!A:B,2,0)),"",VLOOKUP(D96,Categorias!A:B,2,0))</f>
        <v/>
      </c>
      <c r="F96" s="80"/>
      <c r="G96" s="5"/>
      <c r="H96" s="79">
        <f t="shared" si="1"/>
        <v>0</v>
      </c>
    </row>
    <row r="97" spans="4:8" ht="13.8">
      <c r="D97" s="1"/>
      <c r="E97" s="1" t="str">
        <f>IF(ISERROR(VLOOKUP(D97,Categorias!A:B,2,0)),"",VLOOKUP(D97,Categorias!A:B,2,0))</f>
        <v/>
      </c>
      <c r="F97" s="80"/>
      <c r="G97" s="5"/>
      <c r="H97" s="79">
        <f t="shared" si="1"/>
        <v>0</v>
      </c>
    </row>
    <row r="98" spans="4:8" ht="13.8">
      <c r="D98" s="1"/>
      <c r="E98" s="1" t="str">
        <f>IF(ISERROR(VLOOKUP(D98,Categorias!A:B,2,0)),"",VLOOKUP(D98,Categorias!A:B,2,0))</f>
        <v/>
      </c>
      <c r="F98" s="80"/>
      <c r="G98" s="5"/>
      <c r="H98" s="79">
        <f t="shared" si="1"/>
        <v>0</v>
      </c>
    </row>
    <row r="99" spans="4:8" ht="13.8">
      <c r="D99" s="1"/>
      <c r="E99" s="1" t="str">
        <f>IF(ISERROR(VLOOKUP(D99,Categorias!A:B,2,0)),"",VLOOKUP(D99,Categorias!A:B,2,0))</f>
        <v/>
      </c>
      <c r="F99" s="80"/>
      <c r="G99" s="5"/>
      <c r="H99" s="79">
        <f t="shared" si="1"/>
        <v>0</v>
      </c>
    </row>
    <row r="100" spans="4:8" ht="13.8">
      <c r="D100" s="1"/>
      <c r="E100" s="1" t="str">
        <f>IF(ISERROR(VLOOKUP(D100,Categorias!A:B,2,0)),"",VLOOKUP(D100,Categorias!A:B,2,0))</f>
        <v/>
      </c>
      <c r="F100" s="80"/>
      <c r="G100" s="5"/>
      <c r="H100" s="79">
        <f t="shared" si="1"/>
        <v>0</v>
      </c>
    </row>
    <row r="101" spans="4:8" ht="13.8">
      <c r="D101" s="1"/>
      <c r="E101" s="1" t="str">
        <f>IF(ISERROR(VLOOKUP(D101,Categorias!A:B,2,0)),"",VLOOKUP(D101,Categorias!A:B,2,0))</f>
        <v/>
      </c>
      <c r="F101" s="80"/>
      <c r="G101" s="5"/>
      <c r="H101" s="79">
        <f t="shared" si="1"/>
        <v>0</v>
      </c>
    </row>
    <row r="102" spans="4:8" ht="13.8">
      <c r="D102" s="1"/>
      <c r="E102" s="1" t="str">
        <f>IF(ISERROR(VLOOKUP(D102,Categorias!A:B,2,0)),"",VLOOKUP(D102,Categorias!A:B,2,0))</f>
        <v/>
      </c>
      <c r="F102" s="80"/>
      <c r="G102" s="5"/>
      <c r="H102" s="79">
        <f t="shared" si="1"/>
        <v>0</v>
      </c>
    </row>
    <row r="103" spans="4:8" ht="13.8">
      <c r="D103" s="1"/>
      <c r="E103" s="1" t="str">
        <f>IF(ISERROR(VLOOKUP(D103,Categorias!A:B,2,0)),"",VLOOKUP(D103,Categorias!A:B,2,0))</f>
        <v/>
      </c>
      <c r="F103" s="80"/>
      <c r="G103" s="5"/>
      <c r="H103" s="79">
        <f t="shared" si="1"/>
        <v>0</v>
      </c>
    </row>
    <row r="104" spans="4:8" ht="13.8">
      <c r="D104" s="1"/>
      <c r="E104" s="1" t="str">
        <f>IF(ISERROR(VLOOKUP(D104,Categorias!A:B,2,0)),"",VLOOKUP(D104,Categorias!A:B,2,0))</f>
        <v/>
      </c>
      <c r="F104" s="80"/>
      <c r="G104" s="5"/>
      <c r="H104" s="79">
        <f t="shared" si="1"/>
        <v>0</v>
      </c>
    </row>
    <row r="105" spans="4:8" ht="13.8">
      <c r="D105" s="1"/>
      <c r="E105" s="1" t="str">
        <f>IF(ISERROR(VLOOKUP(D105,Categorias!A:B,2,0)),"",VLOOKUP(D105,Categorias!A:B,2,0))</f>
        <v/>
      </c>
      <c r="F105" s="80"/>
      <c r="G105" s="5"/>
      <c r="H105" s="79">
        <f t="shared" si="1"/>
        <v>0</v>
      </c>
    </row>
    <row r="106" spans="4:8" ht="13.8">
      <c r="D106" s="1"/>
      <c r="E106" s="1" t="str">
        <f>IF(ISERROR(VLOOKUP(D106,Categorias!A:B,2,0)),"",VLOOKUP(D106,Categorias!A:B,2,0))</f>
        <v/>
      </c>
      <c r="F106" s="80"/>
      <c r="G106" s="5"/>
      <c r="H106" s="79">
        <f t="shared" si="1"/>
        <v>0</v>
      </c>
    </row>
    <row r="107" spans="4:8" ht="13.8">
      <c r="D107" s="1"/>
      <c r="E107" s="1" t="str">
        <f>IF(ISERROR(VLOOKUP(D107,Categorias!A:B,2,0)),"",VLOOKUP(D107,Categorias!A:B,2,0))</f>
        <v/>
      </c>
      <c r="F107" s="80"/>
      <c r="G107" s="5"/>
      <c r="H107" s="79">
        <f t="shared" si="1"/>
        <v>0</v>
      </c>
    </row>
    <row r="108" spans="4:8" ht="13.8">
      <c r="D108" s="1"/>
      <c r="E108" s="1" t="str">
        <f>IF(ISERROR(VLOOKUP(D108,Categorias!A:B,2,0)),"",VLOOKUP(D108,Categorias!A:B,2,0))</f>
        <v/>
      </c>
      <c r="F108" s="80"/>
      <c r="G108" s="5"/>
      <c r="H108" s="79">
        <f t="shared" si="1"/>
        <v>0</v>
      </c>
    </row>
    <row r="109" spans="4:8" ht="13.8">
      <c r="D109" s="1"/>
      <c r="E109" s="1" t="str">
        <f>IF(ISERROR(VLOOKUP(D109,Categorias!A:B,2,0)),"",VLOOKUP(D109,Categorias!A:B,2,0))</f>
        <v/>
      </c>
      <c r="F109" s="80"/>
      <c r="G109" s="5"/>
      <c r="H109" s="79">
        <f t="shared" si="1"/>
        <v>0</v>
      </c>
    </row>
    <row r="110" spans="4:8" ht="13.8">
      <c r="D110" s="1"/>
      <c r="E110" s="1" t="str">
        <f>IF(ISERROR(VLOOKUP(D110,Categorias!A:B,2,0)),"",VLOOKUP(D110,Categorias!A:B,2,0))</f>
        <v/>
      </c>
      <c r="F110" s="80"/>
      <c r="G110" s="5"/>
      <c r="H110" s="79">
        <f t="shared" si="1"/>
        <v>0</v>
      </c>
    </row>
    <row r="111" spans="4:8" ht="13.8">
      <c r="D111" s="1"/>
      <c r="E111" s="1" t="str">
        <f>IF(ISERROR(VLOOKUP(D111,Categorias!A:B,2,0)),"",VLOOKUP(D111,Categorias!A:B,2,0))</f>
        <v/>
      </c>
      <c r="F111" s="80"/>
      <c r="G111" s="5"/>
      <c r="H111" s="79">
        <f t="shared" si="1"/>
        <v>0</v>
      </c>
    </row>
    <row r="112" spans="4:8" ht="13.8">
      <c r="D112" s="1"/>
      <c r="E112" s="1" t="str">
        <f>IF(ISERROR(VLOOKUP(D112,Categorias!A:B,2,0)),"",VLOOKUP(D112,Categorias!A:B,2,0))</f>
        <v/>
      </c>
      <c r="F112" s="80"/>
      <c r="G112" s="5"/>
      <c r="H112" s="79">
        <f t="shared" si="1"/>
        <v>0</v>
      </c>
    </row>
    <row r="113" spans="4:8" ht="13.8">
      <c r="D113" s="1"/>
      <c r="E113" s="1" t="str">
        <f>IF(ISERROR(VLOOKUP(D113,Categorias!A:B,2,0)),"",VLOOKUP(D113,Categorias!A:B,2,0))</f>
        <v/>
      </c>
      <c r="F113" s="80"/>
      <c r="G113" s="5"/>
      <c r="H113" s="79">
        <f t="shared" si="1"/>
        <v>0</v>
      </c>
    </row>
    <row r="114" spans="4:8" ht="13.8">
      <c r="D114" s="1"/>
      <c r="E114" s="1" t="str">
        <f>IF(ISERROR(VLOOKUP(D114,Categorias!A:B,2,0)),"",VLOOKUP(D114,Categorias!A:B,2,0))</f>
        <v/>
      </c>
      <c r="F114" s="80"/>
      <c r="G114" s="5"/>
      <c r="H114" s="79">
        <f t="shared" si="1"/>
        <v>0</v>
      </c>
    </row>
    <row r="115" spans="4:8" ht="13.8">
      <c r="D115" s="1"/>
      <c r="E115" s="1" t="str">
        <f>IF(ISERROR(VLOOKUP(D115,Categorias!A:B,2,0)),"",VLOOKUP(D115,Categorias!A:B,2,0))</f>
        <v/>
      </c>
      <c r="F115" s="80"/>
      <c r="G115" s="5"/>
      <c r="H115" s="79">
        <f t="shared" si="1"/>
        <v>0</v>
      </c>
    </row>
    <row r="116" spans="4:8" ht="13.8">
      <c r="D116" s="1"/>
      <c r="E116" s="1" t="str">
        <f>IF(ISERROR(VLOOKUP(D116,Categorias!A:B,2,0)),"",VLOOKUP(D116,Categorias!A:B,2,0))</f>
        <v/>
      </c>
      <c r="F116" s="80"/>
      <c r="G116" s="5"/>
      <c r="H116" s="79">
        <f t="shared" si="1"/>
        <v>0</v>
      </c>
    </row>
    <row r="117" spans="4:8" ht="13.8">
      <c r="D117" s="1"/>
      <c r="E117" s="1" t="str">
        <f>IF(ISERROR(VLOOKUP(D117,Categorias!A:B,2,0)),"",VLOOKUP(D117,Categorias!A:B,2,0))</f>
        <v/>
      </c>
      <c r="F117" s="80"/>
      <c r="G117" s="5"/>
      <c r="H117" s="79">
        <f t="shared" si="1"/>
        <v>0</v>
      </c>
    </row>
    <row r="118" spans="4:8" ht="13.8">
      <c r="D118" s="1"/>
      <c r="E118" s="1" t="str">
        <f>IF(ISERROR(VLOOKUP(D118,Categorias!A:B,2,0)),"",VLOOKUP(D118,Categorias!A:B,2,0))</f>
        <v/>
      </c>
      <c r="F118" s="80"/>
      <c r="G118" s="5"/>
      <c r="H118" s="79">
        <f t="shared" si="1"/>
        <v>0</v>
      </c>
    </row>
    <row r="119" spans="4:8" ht="13.8">
      <c r="D119" s="1"/>
      <c r="E119" s="1" t="str">
        <f>IF(ISERROR(VLOOKUP(D119,Categorias!A:B,2,0)),"",VLOOKUP(D119,Categorias!A:B,2,0))</f>
        <v/>
      </c>
      <c r="F119" s="80"/>
      <c r="G119" s="5"/>
      <c r="H119" s="79">
        <f t="shared" si="1"/>
        <v>0</v>
      </c>
    </row>
    <row r="120" spans="4:8" ht="13.8">
      <c r="D120" s="1"/>
      <c r="E120" s="1" t="str">
        <f>IF(ISERROR(VLOOKUP(D120,Categorias!A:B,2,0)),"",VLOOKUP(D120,Categorias!A:B,2,0))</f>
        <v/>
      </c>
      <c r="F120" s="80"/>
      <c r="G120" s="5"/>
      <c r="H120" s="79">
        <f t="shared" si="1"/>
        <v>0</v>
      </c>
    </row>
    <row r="121" spans="4:8" ht="13.8">
      <c r="D121" s="1"/>
      <c r="E121" s="1" t="str">
        <f>IF(ISERROR(VLOOKUP(D121,Categorias!A:B,2,0)),"",VLOOKUP(D121,Categorias!A:B,2,0))</f>
        <v/>
      </c>
      <c r="F121" s="80"/>
      <c r="G121" s="5"/>
      <c r="H121" s="79">
        <f t="shared" si="1"/>
        <v>0</v>
      </c>
    </row>
    <row r="122" spans="4:8" ht="13.8">
      <c r="D122" s="1"/>
      <c r="E122" s="1" t="str">
        <f>IF(ISERROR(VLOOKUP(D122,Categorias!A:B,2,0)),"",VLOOKUP(D122,Categorias!A:B,2,0))</f>
        <v/>
      </c>
      <c r="F122" s="80"/>
      <c r="G122" s="5"/>
      <c r="H122" s="79">
        <f t="shared" si="1"/>
        <v>0</v>
      </c>
    </row>
    <row r="123" spans="4:8" ht="13.8">
      <c r="D123" s="1"/>
      <c r="E123" s="1" t="str">
        <f>IF(ISERROR(VLOOKUP(D123,Categorias!A:B,2,0)),"",VLOOKUP(D123,Categorias!A:B,2,0))</f>
        <v/>
      </c>
      <c r="F123" s="80"/>
      <c r="G123" s="5"/>
      <c r="H123" s="79">
        <f t="shared" si="1"/>
        <v>0</v>
      </c>
    </row>
    <row r="124" spans="4:8" ht="13.8">
      <c r="D124" s="1"/>
      <c r="E124" s="1" t="str">
        <f>IF(ISERROR(VLOOKUP(D124,Categorias!A:B,2,0)),"",VLOOKUP(D124,Categorias!A:B,2,0))</f>
        <v/>
      </c>
      <c r="F124" s="80"/>
      <c r="G124" s="5"/>
      <c r="H124" s="79">
        <f t="shared" si="1"/>
        <v>0</v>
      </c>
    </row>
    <row r="125" spans="4:8" ht="13.8">
      <c r="D125" s="1"/>
      <c r="E125" s="1" t="str">
        <f>IF(ISERROR(VLOOKUP(D125,Categorias!A:B,2,0)),"",VLOOKUP(D125,Categorias!A:B,2,0))</f>
        <v/>
      </c>
      <c r="F125" s="80"/>
      <c r="G125" s="5"/>
      <c r="H125" s="79">
        <f t="shared" si="1"/>
        <v>0</v>
      </c>
    </row>
    <row r="126" spans="4:8" ht="13.8">
      <c r="D126" s="1"/>
      <c r="E126" s="1" t="str">
        <f>IF(ISERROR(VLOOKUP(D126,Categorias!A:B,2,0)),"",VLOOKUP(D126,Categorias!A:B,2,0))</f>
        <v/>
      </c>
      <c r="F126" s="80"/>
      <c r="G126" s="5"/>
      <c r="H126" s="79">
        <f t="shared" si="1"/>
        <v>0</v>
      </c>
    </row>
    <row r="127" spans="4:8" ht="13.8">
      <c r="D127" s="1"/>
      <c r="E127" s="1" t="str">
        <f>IF(ISERROR(VLOOKUP(D127,Categorias!A:B,2,0)),"",VLOOKUP(D127,Categorias!A:B,2,0))</f>
        <v/>
      </c>
      <c r="F127" s="80"/>
      <c r="G127" s="5"/>
      <c r="H127" s="79">
        <f t="shared" si="1"/>
        <v>0</v>
      </c>
    </row>
    <row r="128" spans="4:8" ht="13.8">
      <c r="D128" s="1"/>
      <c r="E128" s="1" t="str">
        <f>IF(ISERROR(VLOOKUP(D128,Categorias!A:B,2,0)),"",VLOOKUP(D128,Categorias!A:B,2,0))</f>
        <v/>
      </c>
      <c r="F128" s="80"/>
      <c r="G128" s="5"/>
      <c r="H128" s="79">
        <f t="shared" si="1"/>
        <v>0</v>
      </c>
    </row>
    <row r="129" spans="4:8" ht="13.8">
      <c r="D129" s="1"/>
      <c r="E129" s="1" t="str">
        <f>IF(ISERROR(VLOOKUP(D129,Categorias!A:B,2,0)),"",VLOOKUP(D129,Categorias!A:B,2,0))</f>
        <v/>
      </c>
      <c r="F129" s="80"/>
      <c r="G129" s="5"/>
      <c r="H129" s="79">
        <f t="shared" si="1"/>
        <v>0</v>
      </c>
    </row>
    <row r="130" spans="4:8" ht="13.8">
      <c r="D130" s="1"/>
      <c r="E130" s="1" t="str">
        <f>IF(ISERROR(VLOOKUP(D130,Categorias!A:B,2,0)),"",VLOOKUP(D130,Categorias!A:B,2,0))</f>
        <v/>
      </c>
      <c r="F130" s="80"/>
      <c r="G130" s="5"/>
      <c r="H130" s="79">
        <f t="shared" si="1"/>
        <v>0</v>
      </c>
    </row>
    <row r="131" spans="4:8" ht="13.8">
      <c r="D131" s="1"/>
      <c r="E131" s="1" t="str">
        <f>IF(ISERROR(VLOOKUP(D131,Categorias!A:B,2,0)),"",VLOOKUP(D131,Categorias!A:B,2,0))</f>
        <v/>
      </c>
      <c r="F131" s="80"/>
      <c r="G131" s="5"/>
      <c r="H131" s="79">
        <f t="shared" si="1"/>
        <v>0</v>
      </c>
    </row>
    <row r="132" spans="4:8" ht="13.8">
      <c r="D132" s="1"/>
      <c r="E132" s="1" t="str">
        <f>IF(ISERROR(VLOOKUP(D132,Categorias!A:B,2,0)),"",VLOOKUP(D132,Categorias!A:B,2,0))</f>
        <v/>
      </c>
      <c r="F132" s="80"/>
      <c r="G132" s="5"/>
      <c r="H132" s="79">
        <f t="shared" si="1"/>
        <v>0</v>
      </c>
    </row>
    <row r="133" spans="4:8" ht="13.8">
      <c r="D133" s="1"/>
      <c r="E133" s="1" t="str">
        <f>IF(ISERROR(VLOOKUP(D133,Categorias!A:B,2,0)),"",VLOOKUP(D133,Categorias!A:B,2,0))</f>
        <v/>
      </c>
      <c r="F133" s="80"/>
      <c r="G133" s="5"/>
      <c r="H133" s="79">
        <f t="shared" si="1"/>
        <v>0</v>
      </c>
    </row>
    <row r="134" spans="4:8" ht="13.8">
      <c r="D134" s="1"/>
      <c r="E134" s="1" t="str">
        <f>IF(ISERROR(VLOOKUP(D134,Categorias!A:B,2,0)),"",VLOOKUP(D134,Categorias!A:B,2,0))</f>
        <v/>
      </c>
      <c r="F134" s="80"/>
      <c r="G134" s="5"/>
      <c r="H134" s="79">
        <f t="shared" si="1"/>
        <v>0</v>
      </c>
    </row>
    <row r="135" spans="4:8" ht="13.8">
      <c r="D135" s="1"/>
      <c r="E135" s="1" t="str">
        <f>IF(ISERROR(VLOOKUP(D135,Categorias!A:B,2,0)),"",VLOOKUP(D135,Categorias!A:B,2,0))</f>
        <v/>
      </c>
      <c r="F135" s="80"/>
      <c r="G135" s="5"/>
      <c r="H135" s="79">
        <f t="shared" si="1"/>
        <v>0</v>
      </c>
    </row>
    <row r="136" spans="4:8" ht="13.8">
      <c r="D136" s="1"/>
      <c r="E136" s="1" t="str">
        <f>IF(ISERROR(VLOOKUP(D136,Categorias!A:B,2,0)),"",VLOOKUP(D136,Categorias!A:B,2,0))</f>
        <v/>
      </c>
      <c r="F136" s="80"/>
      <c r="G136" s="5"/>
      <c r="H136" s="79">
        <f t="shared" si="1"/>
        <v>0</v>
      </c>
    </row>
    <row r="137" spans="4:8" ht="13.8">
      <c r="D137" s="1"/>
      <c r="E137" s="1" t="str">
        <f>IF(ISERROR(VLOOKUP(D137,Categorias!A:B,2,0)),"",VLOOKUP(D137,Categorias!A:B,2,0))</f>
        <v/>
      </c>
      <c r="F137" s="80"/>
      <c r="G137" s="5"/>
      <c r="H137" s="79">
        <f t="shared" si="1"/>
        <v>0</v>
      </c>
    </row>
    <row r="138" spans="4:8" ht="13.8">
      <c r="D138" s="1"/>
      <c r="E138" s="1" t="str">
        <f>IF(ISERROR(VLOOKUP(D138,Categorias!A:B,2,0)),"",VLOOKUP(D138,Categorias!A:B,2,0))</f>
        <v/>
      </c>
      <c r="F138" s="80"/>
      <c r="G138" s="5"/>
      <c r="H138" s="79">
        <f t="shared" si="1"/>
        <v>0</v>
      </c>
    </row>
    <row r="139" spans="4:8" ht="13.8">
      <c r="D139" s="1"/>
      <c r="E139" s="1" t="str">
        <f>IF(ISERROR(VLOOKUP(D139,Categorias!A:B,2,0)),"",VLOOKUP(D139,Categorias!A:B,2,0))</f>
        <v/>
      </c>
      <c r="F139" s="80"/>
      <c r="G139" s="5"/>
      <c r="H139" s="79">
        <f t="shared" si="1"/>
        <v>0</v>
      </c>
    </row>
    <row r="140" spans="4:8" ht="13.8">
      <c r="D140" s="1"/>
      <c r="E140" s="1" t="str">
        <f>IF(ISERROR(VLOOKUP(D140,Categorias!A:B,2,0)),"",VLOOKUP(D140,Categorias!A:B,2,0))</f>
        <v/>
      </c>
      <c r="F140" s="80"/>
      <c r="G140" s="5"/>
      <c r="H140" s="79">
        <f t="shared" si="1"/>
        <v>0</v>
      </c>
    </row>
    <row r="141" spans="4:8" ht="13.8">
      <c r="D141" s="1"/>
      <c r="E141" s="1" t="str">
        <f>IF(ISERROR(VLOOKUP(D141,Categorias!A:B,2,0)),"",VLOOKUP(D141,Categorias!A:B,2,0))</f>
        <v/>
      </c>
      <c r="F141" s="80"/>
      <c r="G141" s="5"/>
      <c r="H141" s="79">
        <f t="shared" si="1"/>
        <v>0</v>
      </c>
    </row>
    <row r="142" spans="4:8" ht="13.8">
      <c r="D142" s="1"/>
      <c r="E142" s="1" t="str">
        <f>IF(ISERROR(VLOOKUP(D142,Categorias!A:B,2,0)),"",VLOOKUP(D142,Categorias!A:B,2,0))</f>
        <v/>
      </c>
      <c r="F142" s="80"/>
      <c r="G142" s="5"/>
      <c r="H142" s="79">
        <f t="shared" si="1"/>
        <v>0</v>
      </c>
    </row>
    <row r="143" spans="4:8" ht="13.8">
      <c r="D143" s="1"/>
      <c r="E143" s="1" t="str">
        <f>IF(ISERROR(VLOOKUP(D143,Categorias!A:B,2,0)),"",VLOOKUP(D143,Categorias!A:B,2,0))</f>
        <v/>
      </c>
      <c r="F143" s="80"/>
      <c r="G143" s="5"/>
      <c r="H143" s="79">
        <f t="shared" si="1"/>
        <v>0</v>
      </c>
    </row>
    <row r="144" spans="4:8" ht="13.8">
      <c r="D144" s="1"/>
      <c r="E144" s="1" t="str">
        <f>IF(ISERROR(VLOOKUP(D144,Categorias!A:B,2,0)),"",VLOOKUP(D144,Categorias!A:B,2,0))</f>
        <v/>
      </c>
      <c r="F144" s="80"/>
      <c r="G144" s="5"/>
      <c r="H144" s="79">
        <f t="shared" si="1"/>
        <v>0</v>
      </c>
    </row>
    <row r="145" spans="4:8" ht="13.8">
      <c r="D145" s="1"/>
      <c r="E145" s="1" t="str">
        <f>IF(ISERROR(VLOOKUP(D145,Categorias!A:B,2,0)),"",VLOOKUP(D145,Categorias!A:B,2,0))</f>
        <v/>
      </c>
      <c r="F145" s="80"/>
      <c r="G145" s="5"/>
      <c r="H145" s="79">
        <f t="shared" ref="H145:H208" si="2">H144+F145-G145</f>
        <v>0</v>
      </c>
    </row>
    <row r="146" spans="4:8" ht="13.8">
      <c r="D146" s="1"/>
      <c r="E146" s="1" t="str">
        <f>IF(ISERROR(VLOOKUP(D146,Categorias!A:B,2,0)),"",VLOOKUP(D146,Categorias!A:B,2,0))</f>
        <v/>
      </c>
      <c r="F146" s="80"/>
      <c r="G146" s="5"/>
      <c r="H146" s="79">
        <f t="shared" si="2"/>
        <v>0</v>
      </c>
    </row>
    <row r="147" spans="4:8" ht="13.8">
      <c r="D147" s="1"/>
      <c r="E147" s="1" t="str">
        <f>IF(ISERROR(VLOOKUP(D147,Categorias!A:B,2,0)),"",VLOOKUP(D147,Categorias!A:B,2,0))</f>
        <v/>
      </c>
      <c r="F147" s="80"/>
      <c r="G147" s="5"/>
      <c r="H147" s="79">
        <f t="shared" si="2"/>
        <v>0</v>
      </c>
    </row>
    <row r="148" spans="4:8" ht="13.8">
      <c r="D148" s="1"/>
      <c r="E148" s="1" t="str">
        <f>IF(ISERROR(VLOOKUP(D148,Categorias!A:B,2,0)),"",VLOOKUP(D148,Categorias!A:B,2,0))</f>
        <v/>
      </c>
      <c r="F148" s="80"/>
      <c r="G148" s="5"/>
      <c r="H148" s="79">
        <f t="shared" si="2"/>
        <v>0</v>
      </c>
    </row>
    <row r="149" spans="4:8" ht="13.8">
      <c r="D149" s="1"/>
      <c r="E149" s="1" t="str">
        <f>IF(ISERROR(VLOOKUP(D149,Categorias!A:B,2,0)),"",VLOOKUP(D149,Categorias!A:B,2,0))</f>
        <v/>
      </c>
      <c r="F149" s="80"/>
      <c r="G149" s="5"/>
      <c r="H149" s="79">
        <f t="shared" si="2"/>
        <v>0</v>
      </c>
    </row>
    <row r="150" spans="4:8" ht="13.8">
      <c r="D150" s="1"/>
      <c r="E150" s="1" t="str">
        <f>IF(ISERROR(VLOOKUP(D150,Categorias!A:B,2,0)),"",VLOOKUP(D150,Categorias!A:B,2,0))</f>
        <v/>
      </c>
      <c r="F150" s="80"/>
      <c r="G150" s="5"/>
      <c r="H150" s="79">
        <f t="shared" si="2"/>
        <v>0</v>
      </c>
    </row>
    <row r="151" spans="4:8" ht="13.8">
      <c r="D151" s="1"/>
      <c r="E151" s="1" t="str">
        <f>IF(ISERROR(VLOOKUP(D151,Categorias!A:B,2,0)),"",VLOOKUP(D151,Categorias!A:B,2,0))</f>
        <v/>
      </c>
      <c r="F151" s="80"/>
      <c r="G151" s="5"/>
      <c r="H151" s="79">
        <f t="shared" si="2"/>
        <v>0</v>
      </c>
    </row>
    <row r="152" spans="4:8" ht="13.8">
      <c r="D152" s="1"/>
      <c r="E152" s="1" t="str">
        <f>IF(ISERROR(VLOOKUP(D152,Categorias!A:B,2,0)),"",VLOOKUP(D152,Categorias!A:B,2,0))</f>
        <v/>
      </c>
      <c r="F152" s="80"/>
      <c r="G152" s="5"/>
      <c r="H152" s="79">
        <f t="shared" si="2"/>
        <v>0</v>
      </c>
    </row>
    <row r="153" spans="4:8" ht="13.8">
      <c r="D153" s="1"/>
      <c r="E153" s="1" t="str">
        <f>IF(ISERROR(VLOOKUP(D153,Categorias!A:B,2,0)),"",VLOOKUP(D153,Categorias!A:B,2,0))</f>
        <v/>
      </c>
      <c r="F153" s="80"/>
      <c r="G153" s="5"/>
      <c r="H153" s="79">
        <f t="shared" si="2"/>
        <v>0</v>
      </c>
    </row>
    <row r="154" spans="4:8" ht="13.8">
      <c r="D154" s="1"/>
      <c r="E154" s="1" t="str">
        <f>IF(ISERROR(VLOOKUP(D154,Categorias!A:B,2,0)),"",VLOOKUP(D154,Categorias!A:B,2,0))</f>
        <v/>
      </c>
      <c r="F154" s="80"/>
      <c r="G154" s="5"/>
      <c r="H154" s="79">
        <f t="shared" si="2"/>
        <v>0</v>
      </c>
    </row>
    <row r="155" spans="4:8" ht="13.8">
      <c r="D155" s="1"/>
      <c r="E155" s="1" t="str">
        <f>IF(ISERROR(VLOOKUP(D155,Categorias!A:B,2,0)),"",VLOOKUP(D155,Categorias!A:B,2,0))</f>
        <v/>
      </c>
      <c r="F155" s="80"/>
      <c r="G155" s="5"/>
      <c r="H155" s="79">
        <f t="shared" si="2"/>
        <v>0</v>
      </c>
    </row>
    <row r="156" spans="4:8" ht="13.8">
      <c r="D156" s="1"/>
      <c r="E156" s="1" t="str">
        <f>IF(ISERROR(VLOOKUP(D156,Categorias!A:B,2,0)),"",VLOOKUP(D156,Categorias!A:B,2,0))</f>
        <v/>
      </c>
      <c r="F156" s="80"/>
      <c r="G156" s="5"/>
      <c r="H156" s="79">
        <f t="shared" si="2"/>
        <v>0</v>
      </c>
    </row>
    <row r="157" spans="4:8" ht="13.8">
      <c r="D157" s="1"/>
      <c r="E157" s="1" t="str">
        <f>IF(ISERROR(VLOOKUP(D157,Categorias!A:B,2,0)),"",VLOOKUP(D157,Categorias!A:B,2,0))</f>
        <v/>
      </c>
      <c r="F157" s="80"/>
      <c r="G157" s="5"/>
      <c r="H157" s="79">
        <f t="shared" si="2"/>
        <v>0</v>
      </c>
    </row>
    <row r="158" spans="4:8" ht="13.8">
      <c r="D158" s="1"/>
      <c r="E158" s="1" t="str">
        <f>IF(ISERROR(VLOOKUP(D158,Categorias!A:B,2,0)),"",VLOOKUP(D158,Categorias!A:B,2,0))</f>
        <v/>
      </c>
      <c r="F158" s="80"/>
      <c r="G158" s="5"/>
      <c r="H158" s="79">
        <f t="shared" si="2"/>
        <v>0</v>
      </c>
    </row>
    <row r="159" spans="4:8" ht="13.8">
      <c r="D159" s="1"/>
      <c r="E159" s="1" t="str">
        <f>IF(ISERROR(VLOOKUP(D159,Categorias!A:B,2,0)),"",VLOOKUP(D159,Categorias!A:B,2,0))</f>
        <v/>
      </c>
      <c r="F159" s="80"/>
      <c r="G159" s="5"/>
      <c r="H159" s="79">
        <f t="shared" si="2"/>
        <v>0</v>
      </c>
    </row>
    <row r="160" spans="4:8" ht="13.8">
      <c r="D160" s="1"/>
      <c r="E160" s="1" t="str">
        <f>IF(ISERROR(VLOOKUP(D160,Categorias!A:B,2,0)),"",VLOOKUP(D160,Categorias!A:B,2,0))</f>
        <v/>
      </c>
      <c r="F160" s="80"/>
      <c r="G160" s="5"/>
      <c r="H160" s="79">
        <f t="shared" si="2"/>
        <v>0</v>
      </c>
    </row>
    <row r="161" spans="4:8" ht="13.8">
      <c r="D161" s="1"/>
      <c r="E161" s="1" t="str">
        <f>IF(ISERROR(VLOOKUP(D161,Categorias!A:B,2,0)),"",VLOOKUP(D161,Categorias!A:B,2,0))</f>
        <v/>
      </c>
      <c r="F161" s="80"/>
      <c r="G161" s="5"/>
      <c r="H161" s="79">
        <f t="shared" si="2"/>
        <v>0</v>
      </c>
    </row>
    <row r="162" spans="4:8" ht="13.8">
      <c r="D162" s="1"/>
      <c r="E162" s="1" t="str">
        <f>IF(ISERROR(VLOOKUP(D162,Categorias!A:B,2,0)),"",VLOOKUP(D162,Categorias!A:B,2,0))</f>
        <v/>
      </c>
      <c r="F162" s="80"/>
      <c r="G162" s="5"/>
      <c r="H162" s="79">
        <f t="shared" si="2"/>
        <v>0</v>
      </c>
    </row>
    <row r="163" spans="4:8" ht="13.8">
      <c r="D163" s="1"/>
      <c r="E163" s="1" t="str">
        <f>IF(ISERROR(VLOOKUP(D163,Categorias!A:B,2,0)),"",VLOOKUP(D163,Categorias!A:B,2,0))</f>
        <v/>
      </c>
      <c r="F163" s="80"/>
      <c r="G163" s="5"/>
      <c r="H163" s="79">
        <f t="shared" si="2"/>
        <v>0</v>
      </c>
    </row>
    <row r="164" spans="4:8" ht="13.8">
      <c r="D164" s="1"/>
      <c r="E164" s="1" t="str">
        <f>IF(ISERROR(VLOOKUP(D164,Categorias!A:B,2,0)),"",VLOOKUP(D164,Categorias!A:B,2,0))</f>
        <v/>
      </c>
      <c r="F164" s="80"/>
      <c r="G164" s="5"/>
      <c r="H164" s="79">
        <f t="shared" si="2"/>
        <v>0</v>
      </c>
    </row>
    <row r="165" spans="4:8" ht="13.8">
      <c r="D165" s="1"/>
      <c r="E165" s="1" t="str">
        <f>IF(ISERROR(VLOOKUP(D165,Categorias!A:B,2,0)),"",VLOOKUP(D165,Categorias!A:B,2,0))</f>
        <v/>
      </c>
      <c r="F165" s="80"/>
      <c r="G165" s="5"/>
      <c r="H165" s="79">
        <f t="shared" si="2"/>
        <v>0</v>
      </c>
    </row>
    <row r="166" spans="4:8" ht="13.8">
      <c r="D166" s="1"/>
      <c r="E166" s="1" t="str">
        <f>IF(ISERROR(VLOOKUP(D166,Categorias!A:B,2,0)),"",VLOOKUP(D166,Categorias!A:B,2,0))</f>
        <v/>
      </c>
      <c r="F166" s="80"/>
      <c r="G166" s="5"/>
      <c r="H166" s="79">
        <f t="shared" si="2"/>
        <v>0</v>
      </c>
    </row>
    <row r="167" spans="4:8" ht="13.8">
      <c r="D167" s="1"/>
      <c r="E167" s="1" t="str">
        <f>IF(ISERROR(VLOOKUP(D167,Categorias!A:B,2,0)),"",VLOOKUP(D167,Categorias!A:B,2,0))</f>
        <v/>
      </c>
      <c r="F167" s="80"/>
      <c r="G167" s="5"/>
      <c r="H167" s="79">
        <f t="shared" si="2"/>
        <v>0</v>
      </c>
    </row>
    <row r="168" spans="4:8" ht="13.8">
      <c r="D168" s="1"/>
      <c r="E168" s="1" t="str">
        <f>IF(ISERROR(VLOOKUP(D168,Categorias!A:B,2,0)),"",VLOOKUP(D168,Categorias!A:B,2,0))</f>
        <v/>
      </c>
      <c r="F168" s="80"/>
      <c r="G168" s="5"/>
      <c r="H168" s="79">
        <f t="shared" si="2"/>
        <v>0</v>
      </c>
    </row>
    <row r="169" spans="4:8" ht="13.8">
      <c r="D169" s="1"/>
      <c r="E169" s="1" t="str">
        <f>IF(ISERROR(VLOOKUP(D169,Categorias!A:B,2,0)),"",VLOOKUP(D169,Categorias!A:B,2,0))</f>
        <v/>
      </c>
      <c r="F169" s="80"/>
      <c r="G169" s="5"/>
      <c r="H169" s="79">
        <f t="shared" si="2"/>
        <v>0</v>
      </c>
    </row>
    <row r="170" spans="4:8" ht="13.8">
      <c r="D170" s="1"/>
      <c r="E170" s="1" t="str">
        <f>IF(ISERROR(VLOOKUP(D170,Categorias!A:B,2,0)),"",VLOOKUP(D170,Categorias!A:B,2,0))</f>
        <v/>
      </c>
      <c r="F170" s="80"/>
      <c r="G170" s="5"/>
      <c r="H170" s="79">
        <f t="shared" si="2"/>
        <v>0</v>
      </c>
    </row>
    <row r="171" spans="4:8" ht="13.8">
      <c r="D171" s="1"/>
      <c r="E171" s="1" t="str">
        <f>IF(ISERROR(VLOOKUP(D171,Categorias!A:B,2,0)),"",VLOOKUP(D171,Categorias!A:B,2,0))</f>
        <v/>
      </c>
      <c r="F171" s="80"/>
      <c r="G171" s="5"/>
      <c r="H171" s="79">
        <f t="shared" si="2"/>
        <v>0</v>
      </c>
    </row>
    <row r="172" spans="4:8" ht="13.8">
      <c r="D172" s="1"/>
      <c r="E172" s="1" t="str">
        <f>IF(ISERROR(VLOOKUP(D172,Categorias!A:B,2,0)),"",VLOOKUP(D172,Categorias!A:B,2,0))</f>
        <v/>
      </c>
      <c r="F172" s="80"/>
      <c r="G172" s="5"/>
      <c r="H172" s="79">
        <f t="shared" si="2"/>
        <v>0</v>
      </c>
    </row>
    <row r="173" spans="4:8" ht="13.8">
      <c r="D173" s="1"/>
      <c r="E173" s="1" t="str">
        <f>IF(ISERROR(VLOOKUP(D173,Categorias!A:B,2,0)),"",VLOOKUP(D173,Categorias!A:B,2,0))</f>
        <v/>
      </c>
      <c r="F173" s="80"/>
      <c r="G173" s="5"/>
      <c r="H173" s="79">
        <f t="shared" si="2"/>
        <v>0</v>
      </c>
    </row>
    <row r="174" spans="4:8" ht="13.8">
      <c r="D174" s="1"/>
      <c r="E174" s="1" t="str">
        <f>IF(ISERROR(VLOOKUP(D174,Categorias!A:B,2,0)),"",VLOOKUP(D174,Categorias!A:B,2,0))</f>
        <v/>
      </c>
      <c r="F174" s="80"/>
      <c r="G174" s="5"/>
      <c r="H174" s="79">
        <f t="shared" si="2"/>
        <v>0</v>
      </c>
    </row>
    <row r="175" spans="4:8" ht="13.8">
      <c r="D175" s="1"/>
      <c r="E175" s="1" t="str">
        <f>IF(ISERROR(VLOOKUP(D175,Categorias!A:B,2,0)),"",VLOOKUP(D175,Categorias!A:B,2,0))</f>
        <v/>
      </c>
      <c r="F175" s="80"/>
      <c r="G175" s="5"/>
      <c r="H175" s="79">
        <f t="shared" si="2"/>
        <v>0</v>
      </c>
    </row>
    <row r="176" spans="4:8" ht="13.8">
      <c r="D176" s="1"/>
      <c r="E176" s="1" t="str">
        <f>IF(ISERROR(VLOOKUP(D176,Categorias!A:B,2,0)),"",VLOOKUP(D176,Categorias!A:B,2,0))</f>
        <v/>
      </c>
      <c r="F176" s="80"/>
      <c r="G176" s="5"/>
      <c r="H176" s="79">
        <f t="shared" si="2"/>
        <v>0</v>
      </c>
    </row>
    <row r="177" spans="4:8" ht="13.8">
      <c r="D177" s="1"/>
      <c r="E177" s="1" t="str">
        <f>IF(ISERROR(VLOOKUP(D177,Categorias!A:B,2,0)),"",VLOOKUP(D177,Categorias!A:B,2,0))</f>
        <v/>
      </c>
      <c r="F177" s="80"/>
      <c r="G177" s="5"/>
      <c r="H177" s="79">
        <f t="shared" si="2"/>
        <v>0</v>
      </c>
    </row>
    <row r="178" spans="4:8" ht="13.8">
      <c r="D178" s="1"/>
      <c r="E178" s="1" t="str">
        <f>IF(ISERROR(VLOOKUP(D178,Categorias!A:B,2,0)),"",VLOOKUP(D178,Categorias!A:B,2,0))</f>
        <v/>
      </c>
      <c r="F178" s="80"/>
      <c r="G178" s="5"/>
      <c r="H178" s="79">
        <f t="shared" si="2"/>
        <v>0</v>
      </c>
    </row>
    <row r="179" spans="4:8" ht="13.8">
      <c r="D179" s="1"/>
      <c r="E179" s="1" t="str">
        <f>IF(ISERROR(VLOOKUP(D179,Categorias!A:B,2,0)),"",VLOOKUP(D179,Categorias!A:B,2,0))</f>
        <v/>
      </c>
      <c r="F179" s="80"/>
      <c r="G179" s="5"/>
      <c r="H179" s="79">
        <f t="shared" si="2"/>
        <v>0</v>
      </c>
    </row>
    <row r="180" spans="4:8" ht="13.8">
      <c r="D180" s="1"/>
      <c r="E180" s="1" t="str">
        <f>IF(ISERROR(VLOOKUP(D180,Categorias!A:B,2,0)),"",VLOOKUP(D180,Categorias!A:B,2,0))</f>
        <v/>
      </c>
      <c r="F180" s="80"/>
      <c r="G180" s="5"/>
      <c r="H180" s="79">
        <f t="shared" si="2"/>
        <v>0</v>
      </c>
    </row>
    <row r="181" spans="4:8" ht="13.8">
      <c r="D181" s="1"/>
      <c r="E181" s="1" t="str">
        <f>IF(ISERROR(VLOOKUP(D181,Categorias!A:B,2,0)),"",VLOOKUP(D181,Categorias!A:B,2,0))</f>
        <v/>
      </c>
      <c r="F181" s="80"/>
      <c r="G181" s="5"/>
      <c r="H181" s="79">
        <f t="shared" si="2"/>
        <v>0</v>
      </c>
    </row>
    <row r="182" spans="4:8" ht="13.8">
      <c r="D182" s="1"/>
      <c r="E182" s="1" t="str">
        <f>IF(ISERROR(VLOOKUP(D182,Categorias!A:B,2,0)),"",VLOOKUP(D182,Categorias!A:B,2,0))</f>
        <v/>
      </c>
      <c r="F182" s="80"/>
      <c r="G182" s="5"/>
      <c r="H182" s="79">
        <f t="shared" si="2"/>
        <v>0</v>
      </c>
    </row>
    <row r="183" spans="4:8" ht="13.8">
      <c r="D183" s="1"/>
      <c r="E183" s="1" t="str">
        <f>IF(ISERROR(VLOOKUP(D183,Categorias!A:B,2,0)),"",VLOOKUP(D183,Categorias!A:B,2,0))</f>
        <v/>
      </c>
      <c r="F183" s="80"/>
      <c r="G183" s="5"/>
      <c r="H183" s="79">
        <f t="shared" si="2"/>
        <v>0</v>
      </c>
    </row>
    <row r="184" spans="4:8" ht="13.8">
      <c r="D184" s="1"/>
      <c r="E184" s="1" t="str">
        <f>IF(ISERROR(VLOOKUP(D184,Categorias!A:B,2,0)),"",VLOOKUP(D184,Categorias!A:B,2,0))</f>
        <v/>
      </c>
      <c r="F184" s="80"/>
      <c r="G184" s="5"/>
      <c r="H184" s="79">
        <f t="shared" si="2"/>
        <v>0</v>
      </c>
    </row>
    <row r="185" spans="4:8" ht="13.8">
      <c r="D185" s="1"/>
      <c r="E185" s="1" t="str">
        <f>IF(ISERROR(VLOOKUP(D185,Categorias!A:B,2,0)),"",VLOOKUP(D185,Categorias!A:B,2,0))</f>
        <v/>
      </c>
      <c r="F185" s="80"/>
      <c r="G185" s="5"/>
      <c r="H185" s="79">
        <f t="shared" si="2"/>
        <v>0</v>
      </c>
    </row>
    <row r="186" spans="4:8" ht="13.8">
      <c r="D186" s="1"/>
      <c r="E186" s="1" t="str">
        <f>IF(ISERROR(VLOOKUP(D186,Categorias!A:B,2,0)),"",VLOOKUP(D186,Categorias!A:B,2,0))</f>
        <v/>
      </c>
      <c r="F186" s="80"/>
      <c r="G186" s="5"/>
      <c r="H186" s="79">
        <f t="shared" si="2"/>
        <v>0</v>
      </c>
    </row>
    <row r="187" spans="4:8" ht="13.8">
      <c r="D187" s="1"/>
      <c r="E187" s="1" t="str">
        <f>IF(ISERROR(VLOOKUP(D187,Categorias!A:B,2,0)),"",VLOOKUP(D187,Categorias!A:B,2,0))</f>
        <v/>
      </c>
      <c r="F187" s="80"/>
      <c r="G187" s="5"/>
      <c r="H187" s="79">
        <f t="shared" si="2"/>
        <v>0</v>
      </c>
    </row>
    <row r="188" spans="4:8" ht="13.8">
      <c r="D188" s="1"/>
      <c r="E188" s="1" t="str">
        <f>IF(ISERROR(VLOOKUP(D188,Categorias!A:B,2,0)),"",VLOOKUP(D188,Categorias!A:B,2,0))</f>
        <v/>
      </c>
      <c r="F188" s="80"/>
      <c r="G188" s="5"/>
      <c r="H188" s="79">
        <f t="shared" si="2"/>
        <v>0</v>
      </c>
    </row>
    <row r="189" spans="4:8" ht="13.8">
      <c r="D189" s="1"/>
      <c r="E189" s="1" t="str">
        <f>IF(ISERROR(VLOOKUP(D189,Categorias!A:B,2,0)),"",VLOOKUP(D189,Categorias!A:B,2,0))</f>
        <v/>
      </c>
      <c r="F189" s="80"/>
      <c r="G189" s="5"/>
      <c r="H189" s="79">
        <f t="shared" si="2"/>
        <v>0</v>
      </c>
    </row>
    <row r="190" spans="4:8" ht="13.8">
      <c r="D190" s="1"/>
      <c r="E190" s="1" t="str">
        <f>IF(ISERROR(VLOOKUP(D190,Categorias!A:B,2,0)),"",VLOOKUP(D190,Categorias!A:B,2,0))</f>
        <v/>
      </c>
      <c r="F190" s="80"/>
      <c r="G190" s="5"/>
      <c r="H190" s="79">
        <f t="shared" si="2"/>
        <v>0</v>
      </c>
    </row>
    <row r="191" spans="4:8" ht="13.8">
      <c r="D191" s="1"/>
      <c r="E191" s="1" t="str">
        <f>IF(ISERROR(VLOOKUP(D191,Categorias!A:B,2,0)),"",VLOOKUP(D191,Categorias!A:B,2,0))</f>
        <v/>
      </c>
      <c r="F191" s="80"/>
      <c r="G191" s="5"/>
      <c r="H191" s="79">
        <f t="shared" si="2"/>
        <v>0</v>
      </c>
    </row>
    <row r="192" spans="4:8" ht="13.8">
      <c r="D192" s="1"/>
      <c r="E192" s="1" t="str">
        <f>IF(ISERROR(VLOOKUP(D192,Categorias!A:B,2,0)),"",VLOOKUP(D192,Categorias!A:B,2,0))</f>
        <v/>
      </c>
      <c r="F192" s="80"/>
      <c r="G192" s="5"/>
      <c r="H192" s="79">
        <f t="shared" si="2"/>
        <v>0</v>
      </c>
    </row>
    <row r="193" spans="4:8" ht="13.8">
      <c r="D193" s="1"/>
      <c r="E193" s="1" t="str">
        <f>IF(ISERROR(VLOOKUP(D193,Categorias!A:B,2,0)),"",VLOOKUP(D193,Categorias!A:B,2,0))</f>
        <v/>
      </c>
      <c r="F193" s="80"/>
      <c r="G193" s="5"/>
      <c r="H193" s="79">
        <f t="shared" si="2"/>
        <v>0</v>
      </c>
    </row>
    <row r="194" spans="4:8" ht="13.8">
      <c r="D194" s="1"/>
      <c r="E194" s="1" t="str">
        <f>IF(ISERROR(VLOOKUP(D194,Categorias!A:B,2,0)),"",VLOOKUP(D194,Categorias!A:B,2,0))</f>
        <v/>
      </c>
      <c r="F194" s="80"/>
      <c r="G194" s="5"/>
      <c r="H194" s="79">
        <f t="shared" si="2"/>
        <v>0</v>
      </c>
    </row>
    <row r="195" spans="4:8" ht="13.8">
      <c r="D195" s="1"/>
      <c r="E195" s="1" t="str">
        <f>IF(ISERROR(VLOOKUP(D195,Categorias!A:B,2,0)),"",VLOOKUP(D195,Categorias!A:B,2,0))</f>
        <v/>
      </c>
      <c r="F195" s="80"/>
      <c r="G195" s="5"/>
      <c r="H195" s="79">
        <f t="shared" si="2"/>
        <v>0</v>
      </c>
    </row>
    <row r="196" spans="4:8" ht="13.8">
      <c r="D196" s="1"/>
      <c r="E196" s="1" t="str">
        <f>IF(ISERROR(VLOOKUP(D196,Categorias!A:B,2,0)),"",VLOOKUP(D196,Categorias!A:B,2,0))</f>
        <v/>
      </c>
      <c r="F196" s="80"/>
      <c r="G196" s="5"/>
      <c r="H196" s="79">
        <f t="shared" si="2"/>
        <v>0</v>
      </c>
    </row>
    <row r="197" spans="4:8" ht="13.8">
      <c r="D197" s="1"/>
      <c r="E197" s="1" t="str">
        <f>IF(ISERROR(VLOOKUP(D197,Categorias!A:B,2,0)),"",VLOOKUP(D197,Categorias!A:B,2,0))</f>
        <v/>
      </c>
      <c r="F197" s="80"/>
      <c r="G197" s="5"/>
      <c r="H197" s="79">
        <f t="shared" si="2"/>
        <v>0</v>
      </c>
    </row>
    <row r="198" spans="4:8" ht="13.8">
      <c r="D198" s="1"/>
      <c r="E198" s="1" t="str">
        <f>IF(ISERROR(VLOOKUP(D198,Categorias!A:B,2,0)),"",VLOOKUP(D198,Categorias!A:B,2,0))</f>
        <v/>
      </c>
      <c r="F198" s="80"/>
      <c r="G198" s="5"/>
      <c r="H198" s="79">
        <f t="shared" si="2"/>
        <v>0</v>
      </c>
    </row>
    <row r="199" spans="4:8" ht="13.8">
      <c r="D199" s="1"/>
      <c r="E199" s="1" t="str">
        <f>IF(ISERROR(VLOOKUP(D199,Categorias!A:B,2,0)),"",VLOOKUP(D199,Categorias!A:B,2,0))</f>
        <v/>
      </c>
      <c r="F199" s="80"/>
      <c r="G199" s="5"/>
      <c r="H199" s="79">
        <f t="shared" si="2"/>
        <v>0</v>
      </c>
    </row>
    <row r="200" spans="4:8" ht="13.8">
      <c r="D200" s="1"/>
      <c r="E200" s="1" t="str">
        <f>IF(ISERROR(VLOOKUP(D200,Categorias!A:B,2,0)),"",VLOOKUP(D200,Categorias!A:B,2,0))</f>
        <v/>
      </c>
      <c r="F200" s="80"/>
      <c r="G200" s="5"/>
      <c r="H200" s="79">
        <f t="shared" si="2"/>
        <v>0</v>
      </c>
    </row>
    <row r="201" spans="4:8" ht="13.8">
      <c r="D201" s="1"/>
      <c r="E201" s="1" t="str">
        <f>IF(ISERROR(VLOOKUP(D201,Categorias!A:B,2,0)),"",VLOOKUP(D201,Categorias!A:B,2,0))</f>
        <v/>
      </c>
      <c r="F201" s="80"/>
      <c r="G201" s="5"/>
      <c r="H201" s="79">
        <f t="shared" si="2"/>
        <v>0</v>
      </c>
    </row>
    <row r="202" spans="4:8" ht="13.8">
      <c r="D202" s="1"/>
      <c r="E202" s="1" t="str">
        <f>IF(ISERROR(VLOOKUP(D202,Categorias!A:B,2,0)),"",VLOOKUP(D202,Categorias!A:B,2,0))</f>
        <v/>
      </c>
      <c r="F202" s="80"/>
      <c r="G202" s="5"/>
      <c r="H202" s="79">
        <f t="shared" si="2"/>
        <v>0</v>
      </c>
    </row>
    <row r="203" spans="4:8" ht="13.8">
      <c r="D203" s="1"/>
      <c r="E203" s="1" t="str">
        <f>IF(ISERROR(VLOOKUP(D203,Categorias!A:B,2,0)),"",VLOOKUP(D203,Categorias!A:B,2,0))</f>
        <v/>
      </c>
      <c r="F203" s="80"/>
      <c r="G203" s="5"/>
      <c r="H203" s="79">
        <f t="shared" si="2"/>
        <v>0</v>
      </c>
    </row>
    <row r="204" spans="4:8" ht="13.8">
      <c r="D204" s="1"/>
      <c r="E204" s="1" t="str">
        <f>IF(ISERROR(VLOOKUP(D204,Categorias!A:B,2,0)),"",VLOOKUP(D204,Categorias!A:B,2,0))</f>
        <v/>
      </c>
      <c r="F204" s="80"/>
      <c r="G204" s="5"/>
      <c r="H204" s="79">
        <f t="shared" si="2"/>
        <v>0</v>
      </c>
    </row>
    <row r="205" spans="4:8" ht="13.8">
      <c r="D205" s="1"/>
      <c r="E205" s="1" t="str">
        <f>IF(ISERROR(VLOOKUP(D205,Categorias!A:B,2,0)),"",VLOOKUP(D205,Categorias!A:B,2,0))</f>
        <v/>
      </c>
      <c r="F205" s="80"/>
      <c r="G205" s="5"/>
      <c r="H205" s="79">
        <f t="shared" si="2"/>
        <v>0</v>
      </c>
    </row>
    <row r="206" spans="4:8" ht="13.8">
      <c r="D206" s="1"/>
      <c r="E206" s="1" t="str">
        <f>IF(ISERROR(VLOOKUP(D206,Categorias!A:B,2,0)),"",VLOOKUP(D206,Categorias!A:B,2,0))</f>
        <v/>
      </c>
      <c r="F206" s="80"/>
      <c r="G206" s="5"/>
      <c r="H206" s="79">
        <f t="shared" si="2"/>
        <v>0</v>
      </c>
    </row>
    <row r="207" spans="4:8" ht="13.8">
      <c r="D207" s="1"/>
      <c r="E207" s="1" t="str">
        <f>IF(ISERROR(VLOOKUP(D207,Categorias!A:B,2,0)),"",VLOOKUP(D207,Categorias!A:B,2,0))</f>
        <v/>
      </c>
      <c r="F207" s="80"/>
      <c r="G207" s="5"/>
      <c r="H207" s="79">
        <f t="shared" si="2"/>
        <v>0</v>
      </c>
    </row>
    <row r="208" spans="4:8" ht="13.8">
      <c r="D208" s="1"/>
      <c r="E208" s="1" t="str">
        <f>IF(ISERROR(VLOOKUP(D208,Categorias!A:B,2,0)),"",VLOOKUP(D208,Categorias!A:B,2,0))</f>
        <v/>
      </c>
      <c r="F208" s="80"/>
      <c r="G208" s="5"/>
      <c r="H208" s="79">
        <f t="shared" si="2"/>
        <v>0</v>
      </c>
    </row>
    <row r="209" spans="4:8" ht="13.8">
      <c r="D209" s="1"/>
      <c r="E209" s="1" t="str">
        <f>IF(ISERROR(VLOOKUP(D209,Categorias!A:B,2,0)),"",VLOOKUP(D209,Categorias!A:B,2,0))</f>
        <v/>
      </c>
      <c r="F209" s="80"/>
      <c r="G209" s="5"/>
      <c r="H209" s="79">
        <f t="shared" ref="H209:H257" si="3">H208+F209-G209</f>
        <v>0</v>
      </c>
    </row>
    <row r="210" spans="4:8" ht="13.8">
      <c r="D210" s="1"/>
      <c r="E210" s="1" t="str">
        <f>IF(ISERROR(VLOOKUP(D210,Categorias!A:B,2,0)),"",VLOOKUP(D210,Categorias!A:B,2,0))</f>
        <v/>
      </c>
      <c r="F210" s="80"/>
      <c r="G210" s="5"/>
      <c r="H210" s="79">
        <f t="shared" si="3"/>
        <v>0</v>
      </c>
    </row>
    <row r="211" spans="4:8" ht="13.8">
      <c r="D211" s="1"/>
      <c r="E211" s="1" t="str">
        <f>IF(ISERROR(VLOOKUP(D211,Categorias!A:B,2,0)),"",VLOOKUP(D211,Categorias!A:B,2,0))</f>
        <v/>
      </c>
      <c r="F211" s="80"/>
      <c r="G211" s="5"/>
      <c r="H211" s="79">
        <f t="shared" si="3"/>
        <v>0</v>
      </c>
    </row>
    <row r="212" spans="4:8" ht="13.8">
      <c r="D212" s="1"/>
      <c r="E212" s="1" t="str">
        <f>IF(ISERROR(VLOOKUP(D212,Categorias!A:B,2,0)),"",VLOOKUP(D212,Categorias!A:B,2,0))</f>
        <v/>
      </c>
      <c r="F212" s="80"/>
      <c r="G212" s="5"/>
      <c r="H212" s="79">
        <f t="shared" si="3"/>
        <v>0</v>
      </c>
    </row>
    <row r="213" spans="4:8" ht="13.8">
      <c r="D213" s="1"/>
      <c r="E213" s="1" t="str">
        <f>IF(ISERROR(VLOOKUP(D213,Categorias!A:B,2,0)),"",VLOOKUP(D213,Categorias!A:B,2,0))</f>
        <v/>
      </c>
      <c r="F213" s="80"/>
      <c r="G213" s="5"/>
      <c r="H213" s="79">
        <f t="shared" si="3"/>
        <v>0</v>
      </c>
    </row>
    <row r="214" spans="4:8" ht="13.8">
      <c r="D214" s="1"/>
      <c r="E214" s="1" t="str">
        <f>IF(ISERROR(VLOOKUP(D214,Categorias!A:B,2,0)),"",VLOOKUP(D214,Categorias!A:B,2,0))</f>
        <v/>
      </c>
      <c r="F214" s="80"/>
      <c r="G214" s="5"/>
      <c r="H214" s="79">
        <f t="shared" si="3"/>
        <v>0</v>
      </c>
    </row>
    <row r="215" spans="4:8" ht="13.8">
      <c r="D215" s="1"/>
      <c r="E215" s="1" t="str">
        <f>IF(ISERROR(VLOOKUP(D215,Categorias!A:B,2,0)),"",VLOOKUP(D215,Categorias!A:B,2,0))</f>
        <v/>
      </c>
      <c r="F215" s="80"/>
      <c r="G215" s="5"/>
      <c r="H215" s="79">
        <f t="shared" si="3"/>
        <v>0</v>
      </c>
    </row>
    <row r="216" spans="4:8" ht="13.8">
      <c r="D216" s="1"/>
      <c r="E216" s="1" t="str">
        <f>IF(ISERROR(VLOOKUP(D216,Categorias!A:B,2,0)),"",VLOOKUP(D216,Categorias!A:B,2,0))</f>
        <v/>
      </c>
      <c r="F216" s="80"/>
      <c r="G216" s="5"/>
      <c r="H216" s="79">
        <f t="shared" si="3"/>
        <v>0</v>
      </c>
    </row>
    <row r="217" spans="4:8" ht="13.8">
      <c r="D217" s="1"/>
      <c r="E217" s="1" t="str">
        <f>IF(ISERROR(VLOOKUP(D217,Categorias!A:B,2,0)),"",VLOOKUP(D217,Categorias!A:B,2,0))</f>
        <v/>
      </c>
      <c r="F217" s="80"/>
      <c r="G217" s="5"/>
      <c r="H217" s="79">
        <f t="shared" si="3"/>
        <v>0</v>
      </c>
    </row>
    <row r="218" spans="4:8" ht="13.8">
      <c r="D218" s="1"/>
      <c r="E218" s="1" t="str">
        <f>IF(ISERROR(VLOOKUP(D218,Categorias!A:B,2,0)),"",VLOOKUP(D218,Categorias!A:B,2,0))</f>
        <v/>
      </c>
      <c r="F218" s="80"/>
      <c r="G218" s="5"/>
      <c r="H218" s="79">
        <f t="shared" si="3"/>
        <v>0</v>
      </c>
    </row>
    <row r="219" spans="4:8" ht="13.8">
      <c r="D219" s="1"/>
      <c r="E219" s="1" t="str">
        <f>IF(ISERROR(VLOOKUP(D219,Categorias!A:B,2,0)),"",VLOOKUP(D219,Categorias!A:B,2,0))</f>
        <v/>
      </c>
      <c r="F219" s="80"/>
      <c r="G219" s="5"/>
      <c r="H219" s="79">
        <f t="shared" si="3"/>
        <v>0</v>
      </c>
    </row>
    <row r="220" spans="4:8" ht="13.8">
      <c r="D220" s="1"/>
      <c r="E220" s="1" t="str">
        <f>IF(ISERROR(VLOOKUP(D220,Categorias!A:B,2,0)),"",VLOOKUP(D220,Categorias!A:B,2,0))</f>
        <v/>
      </c>
      <c r="F220" s="80"/>
      <c r="G220" s="5"/>
      <c r="H220" s="79">
        <f t="shared" si="3"/>
        <v>0</v>
      </c>
    </row>
    <row r="221" spans="4:8" ht="13.8">
      <c r="D221" s="1"/>
      <c r="E221" s="1" t="str">
        <f>IF(ISERROR(VLOOKUP(D221,Categorias!A:B,2,0)),"",VLOOKUP(D221,Categorias!A:B,2,0))</f>
        <v/>
      </c>
      <c r="F221" s="80"/>
      <c r="G221" s="5"/>
      <c r="H221" s="79">
        <f t="shared" si="3"/>
        <v>0</v>
      </c>
    </row>
    <row r="222" spans="4:8" ht="13.8">
      <c r="D222" s="1"/>
      <c r="E222" s="1" t="str">
        <f>IF(ISERROR(VLOOKUP(D222,Categorias!A:B,2,0)),"",VLOOKUP(D222,Categorias!A:B,2,0))</f>
        <v/>
      </c>
      <c r="F222" s="80"/>
      <c r="G222" s="5"/>
      <c r="H222" s="79">
        <f t="shared" si="3"/>
        <v>0</v>
      </c>
    </row>
    <row r="223" spans="4:8" ht="13.8">
      <c r="D223" s="1"/>
      <c r="E223" s="1" t="str">
        <f>IF(ISERROR(VLOOKUP(D223,Categorias!A:B,2,0)),"",VLOOKUP(D223,Categorias!A:B,2,0))</f>
        <v/>
      </c>
      <c r="F223" s="80"/>
      <c r="G223" s="5"/>
      <c r="H223" s="79">
        <f t="shared" si="3"/>
        <v>0</v>
      </c>
    </row>
    <row r="224" spans="4:8" ht="13.8">
      <c r="D224" s="1"/>
      <c r="E224" s="1" t="str">
        <f>IF(ISERROR(VLOOKUP(D224,Categorias!A:B,2,0)),"",VLOOKUP(D224,Categorias!A:B,2,0))</f>
        <v/>
      </c>
      <c r="F224" s="80"/>
      <c r="G224" s="5"/>
      <c r="H224" s="79">
        <f t="shared" si="3"/>
        <v>0</v>
      </c>
    </row>
    <row r="225" spans="4:8" ht="13.8">
      <c r="D225" s="1"/>
      <c r="E225" s="1" t="str">
        <f>IF(ISERROR(VLOOKUP(D225,Categorias!A:B,2,0)),"",VLOOKUP(D225,Categorias!A:B,2,0))</f>
        <v/>
      </c>
      <c r="F225" s="80"/>
      <c r="G225" s="5"/>
      <c r="H225" s="79">
        <f t="shared" si="3"/>
        <v>0</v>
      </c>
    </row>
    <row r="226" spans="4:8" ht="13.8">
      <c r="D226" s="1"/>
      <c r="E226" s="1" t="str">
        <f>IF(ISERROR(VLOOKUP(D226,Categorias!A:B,2,0)),"",VLOOKUP(D226,Categorias!A:B,2,0))</f>
        <v/>
      </c>
      <c r="F226" s="80"/>
      <c r="G226" s="5"/>
      <c r="H226" s="79">
        <f t="shared" si="3"/>
        <v>0</v>
      </c>
    </row>
    <row r="227" spans="4:8" ht="13.8">
      <c r="D227" s="1"/>
      <c r="E227" s="1" t="str">
        <f>IF(ISERROR(VLOOKUP(D227,Categorias!A:B,2,0)),"",VLOOKUP(D227,Categorias!A:B,2,0))</f>
        <v/>
      </c>
      <c r="F227" s="80"/>
      <c r="G227" s="5"/>
      <c r="H227" s="79">
        <f t="shared" si="3"/>
        <v>0</v>
      </c>
    </row>
    <row r="228" spans="4:8" ht="13.8">
      <c r="D228" s="1"/>
      <c r="E228" s="1" t="str">
        <f>IF(ISERROR(VLOOKUP(D228,Categorias!A:B,2,0)),"",VLOOKUP(D228,Categorias!A:B,2,0))</f>
        <v/>
      </c>
      <c r="F228" s="80"/>
      <c r="G228" s="5"/>
      <c r="H228" s="79">
        <f t="shared" si="3"/>
        <v>0</v>
      </c>
    </row>
    <row r="229" spans="4:8" ht="13.8">
      <c r="D229" s="1"/>
      <c r="E229" s="1" t="str">
        <f>IF(ISERROR(VLOOKUP(D229,Categorias!A:B,2,0)),"",VLOOKUP(D229,Categorias!A:B,2,0))</f>
        <v/>
      </c>
      <c r="F229" s="80"/>
      <c r="G229" s="5"/>
      <c r="H229" s="79">
        <f t="shared" si="3"/>
        <v>0</v>
      </c>
    </row>
    <row r="230" spans="4:8" ht="13.8">
      <c r="D230" s="1"/>
      <c r="E230" s="1" t="str">
        <f>IF(ISERROR(VLOOKUP(D230,Categorias!A:B,2,0)),"",VLOOKUP(D230,Categorias!A:B,2,0))</f>
        <v/>
      </c>
      <c r="F230" s="80"/>
      <c r="G230" s="5"/>
      <c r="H230" s="79">
        <f t="shared" si="3"/>
        <v>0</v>
      </c>
    </row>
    <row r="231" spans="4:8" ht="13.8">
      <c r="D231" s="1"/>
      <c r="E231" s="1" t="str">
        <f>IF(ISERROR(VLOOKUP(D231,Categorias!A:B,2,0)),"",VLOOKUP(D231,Categorias!A:B,2,0))</f>
        <v/>
      </c>
      <c r="F231" s="80"/>
      <c r="G231" s="5"/>
      <c r="H231" s="79">
        <f t="shared" si="3"/>
        <v>0</v>
      </c>
    </row>
    <row r="232" spans="4:8" ht="13.8">
      <c r="D232" s="1"/>
      <c r="E232" s="1" t="str">
        <f>IF(ISERROR(VLOOKUP(D232,Categorias!A:B,2,0)),"",VLOOKUP(D232,Categorias!A:B,2,0))</f>
        <v/>
      </c>
      <c r="F232" s="80"/>
      <c r="G232" s="5"/>
      <c r="H232" s="79">
        <f t="shared" si="3"/>
        <v>0</v>
      </c>
    </row>
    <row r="233" spans="4:8" ht="13.8">
      <c r="D233" s="1"/>
      <c r="E233" s="1" t="str">
        <f>IF(ISERROR(VLOOKUP(D233,Categorias!A:B,2,0)),"",VLOOKUP(D233,Categorias!A:B,2,0))</f>
        <v/>
      </c>
      <c r="F233" s="80"/>
      <c r="G233" s="5"/>
      <c r="H233" s="79">
        <f t="shared" si="3"/>
        <v>0</v>
      </c>
    </row>
    <row r="234" spans="4:8" ht="13.8">
      <c r="D234" s="1"/>
      <c r="E234" s="1" t="str">
        <f>IF(ISERROR(VLOOKUP(D234,Categorias!A:B,2,0)),"",VLOOKUP(D234,Categorias!A:B,2,0))</f>
        <v/>
      </c>
      <c r="F234" s="80"/>
      <c r="G234" s="5"/>
      <c r="H234" s="79">
        <f t="shared" si="3"/>
        <v>0</v>
      </c>
    </row>
    <row r="235" spans="4:8" ht="13.8">
      <c r="D235" s="1"/>
      <c r="E235" s="1" t="str">
        <f>IF(ISERROR(VLOOKUP(D235,Categorias!A:B,2,0)),"",VLOOKUP(D235,Categorias!A:B,2,0))</f>
        <v/>
      </c>
      <c r="F235" s="80"/>
      <c r="G235" s="5"/>
      <c r="H235" s="79">
        <f t="shared" si="3"/>
        <v>0</v>
      </c>
    </row>
    <row r="236" spans="4:8" ht="13.8">
      <c r="D236" s="1"/>
      <c r="E236" s="1" t="str">
        <f>IF(ISERROR(VLOOKUP(D236,Categorias!A:B,2,0)),"",VLOOKUP(D236,Categorias!A:B,2,0))</f>
        <v/>
      </c>
      <c r="F236" s="80"/>
      <c r="G236" s="5"/>
      <c r="H236" s="79">
        <f t="shared" si="3"/>
        <v>0</v>
      </c>
    </row>
    <row r="237" spans="4:8" ht="13.8">
      <c r="D237" s="1"/>
      <c r="E237" s="1" t="str">
        <f>IF(ISERROR(VLOOKUP(D237,Categorias!A:B,2,0)),"",VLOOKUP(D237,Categorias!A:B,2,0))</f>
        <v/>
      </c>
      <c r="F237" s="80"/>
      <c r="G237" s="5"/>
      <c r="H237" s="79">
        <f t="shared" si="3"/>
        <v>0</v>
      </c>
    </row>
    <row r="238" spans="4:8" ht="13.8">
      <c r="D238" s="1"/>
      <c r="E238" s="1" t="str">
        <f>IF(ISERROR(VLOOKUP(D238,Categorias!A:B,2,0)),"",VLOOKUP(D238,Categorias!A:B,2,0))</f>
        <v/>
      </c>
      <c r="F238" s="80"/>
      <c r="G238" s="5"/>
      <c r="H238" s="79">
        <f t="shared" si="3"/>
        <v>0</v>
      </c>
    </row>
    <row r="239" spans="4:8" ht="13.8">
      <c r="D239" s="1"/>
      <c r="E239" s="1" t="str">
        <f>IF(ISERROR(VLOOKUP(D239,Categorias!A:B,2,0)),"",VLOOKUP(D239,Categorias!A:B,2,0))</f>
        <v/>
      </c>
      <c r="F239" s="80"/>
      <c r="G239" s="5"/>
      <c r="H239" s="79">
        <f t="shared" si="3"/>
        <v>0</v>
      </c>
    </row>
    <row r="240" spans="4:8" ht="13.8">
      <c r="D240" s="1"/>
      <c r="E240" s="1" t="str">
        <f>IF(ISERROR(VLOOKUP(D240,Categorias!A:B,2,0)),"",VLOOKUP(D240,Categorias!A:B,2,0))</f>
        <v/>
      </c>
      <c r="F240" s="80"/>
      <c r="G240" s="5"/>
      <c r="H240" s="79">
        <f t="shared" si="3"/>
        <v>0</v>
      </c>
    </row>
    <row r="241" spans="4:8" ht="13.8">
      <c r="D241" s="1"/>
      <c r="E241" s="1" t="str">
        <f>IF(ISERROR(VLOOKUP(D241,Categorias!A:B,2,0)),"",VLOOKUP(D241,Categorias!A:B,2,0))</f>
        <v/>
      </c>
      <c r="F241" s="80"/>
      <c r="G241" s="5"/>
      <c r="H241" s="79">
        <f t="shared" si="3"/>
        <v>0</v>
      </c>
    </row>
    <row r="242" spans="4:8" ht="13.8">
      <c r="D242" s="1"/>
      <c r="E242" s="1" t="str">
        <f>IF(ISERROR(VLOOKUP(D242,Categorias!A:B,2,0)),"",VLOOKUP(D242,Categorias!A:B,2,0))</f>
        <v/>
      </c>
      <c r="F242" s="80"/>
      <c r="G242" s="5"/>
      <c r="H242" s="79">
        <f t="shared" si="3"/>
        <v>0</v>
      </c>
    </row>
    <row r="243" spans="4:8" ht="13.8">
      <c r="D243" s="1"/>
      <c r="E243" s="1" t="str">
        <f>IF(ISERROR(VLOOKUP(D243,Categorias!A:B,2,0)),"",VLOOKUP(D243,Categorias!A:B,2,0))</f>
        <v/>
      </c>
      <c r="F243" s="80"/>
      <c r="G243" s="5"/>
      <c r="H243" s="79">
        <f t="shared" si="3"/>
        <v>0</v>
      </c>
    </row>
    <row r="244" spans="4:8" ht="13.8">
      <c r="D244" s="1"/>
      <c r="E244" s="1" t="str">
        <f>IF(ISERROR(VLOOKUP(D244,Categorias!A:B,2,0)),"",VLOOKUP(D244,Categorias!A:B,2,0))</f>
        <v/>
      </c>
      <c r="F244" s="80"/>
      <c r="G244" s="5"/>
      <c r="H244" s="79">
        <f t="shared" si="3"/>
        <v>0</v>
      </c>
    </row>
    <row r="245" spans="4:8" ht="13.8">
      <c r="D245" s="1"/>
      <c r="E245" s="1" t="str">
        <f>IF(ISERROR(VLOOKUP(D245,Categorias!A:B,2,0)),"",VLOOKUP(D245,Categorias!A:B,2,0))</f>
        <v/>
      </c>
      <c r="F245" s="80"/>
      <c r="G245" s="5"/>
      <c r="H245" s="79">
        <f t="shared" si="3"/>
        <v>0</v>
      </c>
    </row>
    <row r="246" spans="4:8" ht="13.8">
      <c r="D246" s="1"/>
      <c r="E246" s="1" t="str">
        <f>IF(ISERROR(VLOOKUP(D246,Categorias!A:B,2,0)),"",VLOOKUP(D246,Categorias!A:B,2,0))</f>
        <v/>
      </c>
      <c r="F246" s="80"/>
      <c r="G246" s="5"/>
      <c r="H246" s="79">
        <f t="shared" si="3"/>
        <v>0</v>
      </c>
    </row>
    <row r="247" spans="4:8" ht="13.8">
      <c r="D247" s="1"/>
      <c r="E247" s="1" t="str">
        <f>IF(ISERROR(VLOOKUP(D247,Categorias!A:B,2,0)),"",VLOOKUP(D247,Categorias!A:B,2,0))</f>
        <v/>
      </c>
      <c r="F247" s="80"/>
      <c r="G247" s="5"/>
      <c r="H247" s="79">
        <f t="shared" si="3"/>
        <v>0</v>
      </c>
    </row>
    <row r="248" spans="4:8" ht="13.8">
      <c r="D248" s="1"/>
      <c r="E248" s="1" t="str">
        <f>IF(ISERROR(VLOOKUP(D248,Categorias!A:B,2,0)),"",VLOOKUP(D248,Categorias!A:B,2,0))</f>
        <v/>
      </c>
      <c r="F248" s="80"/>
      <c r="G248" s="5"/>
      <c r="H248" s="79">
        <f t="shared" si="3"/>
        <v>0</v>
      </c>
    </row>
    <row r="249" spans="4:8" ht="13.8">
      <c r="D249" s="1"/>
      <c r="E249" s="1" t="str">
        <f>IF(ISERROR(VLOOKUP(D249,Categorias!A:B,2,0)),"",VLOOKUP(D249,Categorias!A:B,2,0))</f>
        <v/>
      </c>
      <c r="F249" s="80"/>
      <c r="G249" s="5"/>
      <c r="H249" s="79">
        <f t="shared" si="3"/>
        <v>0</v>
      </c>
    </row>
    <row r="250" spans="4:8" ht="13.8">
      <c r="D250" s="1"/>
      <c r="E250" s="1" t="str">
        <f>IF(ISERROR(VLOOKUP(D250,Categorias!A:B,2,0)),"",VLOOKUP(D250,Categorias!A:B,2,0))</f>
        <v/>
      </c>
      <c r="F250" s="80"/>
      <c r="G250" s="5"/>
      <c r="H250" s="79">
        <f t="shared" si="3"/>
        <v>0</v>
      </c>
    </row>
    <row r="251" spans="4:8" ht="13.8">
      <c r="D251" s="1"/>
      <c r="E251" s="1" t="str">
        <f>IF(ISERROR(VLOOKUP(D251,Categorias!A:B,2,0)),"",VLOOKUP(D251,Categorias!A:B,2,0))</f>
        <v/>
      </c>
      <c r="F251" s="80"/>
      <c r="G251" s="5"/>
      <c r="H251" s="79">
        <f t="shared" si="3"/>
        <v>0</v>
      </c>
    </row>
    <row r="252" spans="4:8" ht="13.8">
      <c r="D252" s="1"/>
      <c r="E252" s="1" t="str">
        <f>IF(ISERROR(VLOOKUP(D252,Categorias!A:B,2,0)),"",VLOOKUP(D252,Categorias!A:B,2,0))</f>
        <v/>
      </c>
      <c r="F252" s="80"/>
      <c r="G252" s="5"/>
      <c r="H252" s="79">
        <f t="shared" si="3"/>
        <v>0</v>
      </c>
    </row>
    <row r="253" spans="4:8" ht="13.8">
      <c r="D253" s="1"/>
      <c r="E253" s="1" t="str">
        <f>IF(ISERROR(VLOOKUP(D253,Categorias!A:B,2,0)),"",VLOOKUP(D253,Categorias!A:B,2,0))</f>
        <v/>
      </c>
      <c r="F253" s="80"/>
      <c r="G253" s="5"/>
      <c r="H253" s="79">
        <f t="shared" si="3"/>
        <v>0</v>
      </c>
    </row>
    <row r="254" spans="4:8" ht="13.8">
      <c r="D254" s="1"/>
      <c r="E254" s="1" t="str">
        <f>IF(ISERROR(VLOOKUP(D254,Categorias!A:B,2,0)),"",VLOOKUP(D254,Categorias!A:B,2,0))</f>
        <v/>
      </c>
      <c r="F254" s="80"/>
      <c r="G254" s="5"/>
      <c r="H254" s="79">
        <f t="shared" si="3"/>
        <v>0</v>
      </c>
    </row>
    <row r="255" spans="4:8" ht="13.8">
      <c r="D255" s="1"/>
      <c r="E255" s="1" t="str">
        <f>IF(ISERROR(VLOOKUP(D255,Categorias!A:B,2,0)),"",VLOOKUP(D255,Categorias!A:B,2,0))</f>
        <v/>
      </c>
      <c r="F255" s="80"/>
      <c r="G255" s="5"/>
      <c r="H255" s="79">
        <f t="shared" si="3"/>
        <v>0</v>
      </c>
    </row>
    <row r="256" spans="4:8" ht="13.8">
      <c r="D256" s="1"/>
      <c r="E256" s="1" t="str">
        <f>IF(ISERROR(VLOOKUP(D256,Categorias!A:B,2,0)),"",VLOOKUP(D256,Categorias!A:B,2,0))</f>
        <v/>
      </c>
      <c r="F256" s="80"/>
      <c r="G256" s="5"/>
      <c r="H256" s="79">
        <f t="shared" si="3"/>
        <v>0</v>
      </c>
    </row>
    <row r="257" spans="4:8" ht="13.8">
      <c r="D257" s="1"/>
      <c r="E257" s="1" t="str">
        <f>IF(ISERROR(VLOOKUP(D257,Categorias!A:B,2,0)),"",VLOOKUP(D257,Categorias!A:B,2,0))</f>
        <v/>
      </c>
      <c r="F257" s="80"/>
      <c r="G257" s="5"/>
      <c r="H257" s="79">
        <f t="shared" si="3"/>
        <v>0</v>
      </c>
    </row>
    <row r="258" spans="4:8" ht="13.8">
      <c r="F258" s="81"/>
      <c r="G258" s="6"/>
      <c r="H258" s="60"/>
    </row>
    <row r="259" spans="4:8" ht="13.8">
      <c r="F259" s="81"/>
      <c r="G259" s="6"/>
      <c r="H259" s="60"/>
    </row>
    <row r="260" spans="4:8" ht="13.8">
      <c r="F260" s="81"/>
      <c r="G260" s="6"/>
      <c r="H260" s="60"/>
    </row>
    <row r="261" spans="4:8" ht="13.8">
      <c r="F261" s="81"/>
      <c r="G261" s="6"/>
      <c r="H261" s="60"/>
    </row>
    <row r="262" spans="4:8" ht="13.8">
      <c r="F262" s="81"/>
      <c r="G262" s="6"/>
      <c r="H262" s="60"/>
    </row>
    <row r="263" spans="4:8" ht="13.8">
      <c r="F263" s="81"/>
      <c r="G263" s="6"/>
      <c r="H263" s="60"/>
    </row>
    <row r="264" spans="4:8" ht="13.8">
      <c r="F264" s="81"/>
      <c r="G264" s="6"/>
      <c r="H264" s="60"/>
    </row>
    <row r="265" spans="4:8" ht="13.8">
      <c r="F265" s="81"/>
      <c r="G265" s="6"/>
      <c r="H265" s="60"/>
    </row>
    <row r="266" spans="4:8" ht="13.8">
      <c r="F266" s="81"/>
      <c r="G266" s="6"/>
      <c r="H266" s="60"/>
    </row>
    <row r="267" spans="4:8" ht="13.8">
      <c r="F267" s="81"/>
      <c r="G267" s="6"/>
      <c r="H267" s="60"/>
    </row>
    <row r="268" spans="4:8" ht="13.8">
      <c r="F268" s="81"/>
      <c r="G268" s="6"/>
      <c r="H268" s="60"/>
    </row>
    <row r="269" spans="4:8" ht="13.8">
      <c r="F269" s="81"/>
      <c r="G269" s="6"/>
      <c r="H269" s="60"/>
    </row>
    <row r="270" spans="4:8" ht="13.8">
      <c r="F270" s="81"/>
      <c r="G270" s="6"/>
      <c r="H270" s="60"/>
    </row>
    <row r="271" spans="4:8" ht="13.8">
      <c r="F271" s="81"/>
      <c r="G271" s="6"/>
      <c r="H271" s="60"/>
    </row>
    <row r="272" spans="4:8" ht="13.8">
      <c r="F272" s="81"/>
      <c r="G272" s="6"/>
      <c r="H272" s="60"/>
    </row>
    <row r="273" spans="6:8" ht="13.8">
      <c r="F273" s="81"/>
      <c r="G273" s="6"/>
      <c r="H273" s="60"/>
    </row>
    <row r="274" spans="6:8" ht="13.8">
      <c r="F274" s="81"/>
      <c r="G274" s="6"/>
      <c r="H274" s="60"/>
    </row>
    <row r="275" spans="6:8" ht="13.8">
      <c r="F275" s="81"/>
      <c r="G275" s="6"/>
      <c r="H275" s="60"/>
    </row>
    <row r="276" spans="6:8" ht="13.8">
      <c r="F276" s="81"/>
      <c r="G276" s="6"/>
      <c r="H276" s="60"/>
    </row>
    <row r="277" spans="6:8" ht="13.8">
      <c r="F277" s="81"/>
      <c r="G277" s="6"/>
      <c r="H277" s="60"/>
    </row>
    <row r="278" spans="6:8" ht="13.8">
      <c r="F278" s="81"/>
      <c r="G278" s="6"/>
      <c r="H278" s="60"/>
    </row>
    <row r="279" spans="6:8" ht="13.8">
      <c r="F279" s="81"/>
      <c r="G279" s="6"/>
      <c r="H279" s="60"/>
    </row>
    <row r="280" spans="6:8" ht="13.8">
      <c r="F280" s="81"/>
      <c r="G280" s="6"/>
      <c r="H280" s="60"/>
    </row>
    <row r="281" spans="6:8" ht="13.8">
      <c r="F281" s="81"/>
      <c r="G281" s="6"/>
      <c r="H281" s="60"/>
    </row>
    <row r="282" spans="6:8" ht="13.8">
      <c r="F282" s="81"/>
      <c r="G282" s="6"/>
      <c r="H282" s="60"/>
    </row>
    <row r="283" spans="6:8" ht="13.8">
      <c r="F283" s="81"/>
      <c r="G283" s="6"/>
      <c r="H283" s="60"/>
    </row>
    <row r="284" spans="6:8" ht="13.8">
      <c r="F284" s="81"/>
      <c r="G284" s="6"/>
      <c r="H284" s="60"/>
    </row>
    <row r="285" spans="6:8" ht="13.8">
      <c r="F285" s="81"/>
      <c r="G285" s="6"/>
      <c r="H285" s="60"/>
    </row>
    <row r="286" spans="6:8" ht="13.8">
      <c r="F286" s="81"/>
      <c r="G286" s="6"/>
      <c r="H286" s="60"/>
    </row>
    <row r="287" spans="6:8" ht="13.8">
      <c r="F287" s="81"/>
      <c r="G287" s="6"/>
      <c r="H287" s="60"/>
    </row>
    <row r="288" spans="6:8" ht="13.8">
      <c r="F288" s="81"/>
      <c r="G288" s="6"/>
      <c r="H288" s="60"/>
    </row>
    <row r="289" spans="6:8" ht="13.8">
      <c r="F289" s="81"/>
      <c r="G289" s="6"/>
      <c r="H289" s="60"/>
    </row>
    <row r="290" spans="6:8" ht="13.8">
      <c r="F290" s="81"/>
      <c r="G290" s="6"/>
      <c r="H290" s="60"/>
    </row>
    <row r="291" spans="6:8" ht="13.8">
      <c r="F291" s="81"/>
      <c r="G291" s="6"/>
      <c r="H291" s="60"/>
    </row>
    <row r="292" spans="6:8" ht="13.8">
      <c r="F292" s="81"/>
      <c r="G292" s="6"/>
      <c r="H292" s="60"/>
    </row>
    <row r="293" spans="6:8" ht="13.8">
      <c r="F293" s="81"/>
      <c r="G293" s="6"/>
      <c r="H293" s="60"/>
    </row>
    <row r="294" spans="6:8" ht="13.8">
      <c r="F294" s="81"/>
      <c r="G294" s="6"/>
      <c r="H294" s="60"/>
    </row>
    <row r="295" spans="6:8" ht="13.8">
      <c r="F295" s="81"/>
      <c r="G295" s="6"/>
      <c r="H295" s="60"/>
    </row>
    <row r="296" spans="6:8" ht="13.8">
      <c r="F296" s="81"/>
      <c r="G296" s="6"/>
      <c r="H296" s="60"/>
    </row>
    <row r="297" spans="6:8" ht="13.8">
      <c r="F297" s="81"/>
      <c r="G297" s="6"/>
      <c r="H297" s="60"/>
    </row>
    <row r="298" spans="6:8" ht="13.8">
      <c r="F298" s="81"/>
      <c r="G298" s="6"/>
      <c r="H298" s="60"/>
    </row>
    <row r="299" spans="6:8" ht="13.8">
      <c r="F299" s="81"/>
      <c r="G299" s="6"/>
      <c r="H299" s="60"/>
    </row>
    <row r="300" spans="6:8" ht="13.8">
      <c r="F300" s="81"/>
      <c r="G300" s="6"/>
      <c r="H300" s="60"/>
    </row>
    <row r="301" spans="6:8" ht="13.8">
      <c r="F301" s="81"/>
      <c r="G301" s="6"/>
      <c r="H301" s="60"/>
    </row>
    <row r="302" spans="6:8" ht="13.8">
      <c r="F302" s="81"/>
      <c r="G302" s="6"/>
      <c r="H302" s="60"/>
    </row>
    <row r="303" spans="6:8" ht="13.8">
      <c r="F303" s="81"/>
      <c r="G303" s="6"/>
      <c r="H303" s="60"/>
    </row>
    <row r="304" spans="6:8" ht="13.8">
      <c r="F304" s="81"/>
      <c r="G304" s="6"/>
      <c r="H304" s="60"/>
    </row>
    <row r="305" spans="6:8" ht="13.8">
      <c r="F305" s="81"/>
      <c r="G305" s="6"/>
      <c r="H305" s="60"/>
    </row>
    <row r="306" spans="6:8" ht="13.8">
      <c r="F306" s="81"/>
      <c r="G306" s="6"/>
      <c r="H306" s="60"/>
    </row>
    <row r="307" spans="6:8" ht="13.8">
      <c r="F307" s="81"/>
      <c r="G307" s="6"/>
      <c r="H307" s="60"/>
    </row>
    <row r="308" spans="6:8" ht="13.8">
      <c r="F308" s="81"/>
      <c r="G308" s="6"/>
      <c r="H308" s="60"/>
    </row>
    <row r="309" spans="6:8" ht="13.8">
      <c r="F309" s="81"/>
      <c r="G309" s="6"/>
      <c r="H309" s="60"/>
    </row>
    <row r="310" spans="6:8" ht="13.8">
      <c r="F310" s="81"/>
      <c r="G310" s="6"/>
      <c r="H310" s="60"/>
    </row>
    <row r="311" spans="6:8" ht="13.8">
      <c r="F311" s="81"/>
      <c r="G311" s="6"/>
      <c r="H311" s="60"/>
    </row>
    <row r="312" spans="6:8" ht="13.8">
      <c r="F312" s="81"/>
      <c r="G312" s="6"/>
      <c r="H312" s="60"/>
    </row>
    <row r="313" spans="6:8" ht="13.8">
      <c r="F313" s="81"/>
      <c r="G313" s="6"/>
      <c r="H313" s="60"/>
    </row>
    <row r="314" spans="6:8" ht="13.8">
      <c r="F314" s="81"/>
      <c r="G314" s="6"/>
      <c r="H314" s="60"/>
    </row>
    <row r="315" spans="6:8" ht="13.8">
      <c r="F315" s="81"/>
      <c r="G315" s="6"/>
      <c r="H315" s="60"/>
    </row>
    <row r="316" spans="6:8" ht="13.8">
      <c r="F316" s="81"/>
      <c r="G316" s="6"/>
      <c r="H316" s="60"/>
    </row>
    <row r="317" spans="6:8" ht="13.8">
      <c r="F317" s="81"/>
      <c r="G317" s="6"/>
      <c r="H317" s="60"/>
    </row>
    <row r="318" spans="6:8" ht="13.8">
      <c r="F318" s="81"/>
      <c r="G318" s="6"/>
      <c r="H318" s="60"/>
    </row>
    <row r="319" spans="6:8" ht="13.8">
      <c r="F319" s="81"/>
      <c r="G319" s="6"/>
      <c r="H319" s="60"/>
    </row>
    <row r="320" spans="6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  <row r="455" spans="6:8" ht="13.8">
      <c r="F455" s="81"/>
      <c r="G455" s="6"/>
      <c r="H455" s="60"/>
    </row>
    <row r="456" spans="6:8" ht="13.8">
      <c r="F456" s="81"/>
      <c r="G456" s="6"/>
      <c r="H456" s="60"/>
    </row>
    <row r="457" spans="6:8" ht="13.8">
      <c r="F457" s="81"/>
      <c r="G457" s="6"/>
      <c r="H457" s="60"/>
    </row>
    <row r="458" spans="6:8" ht="13.2"/>
    <row r="459" spans="6:8" ht="13.2"/>
    <row r="460" spans="6:8" ht="13.2"/>
    <row r="461" spans="6:8" ht="13.2"/>
    <row r="462" spans="6:8" ht="13.2"/>
    <row r="463" spans="6:8" ht="13.2"/>
    <row r="464" spans="6:8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autoFilter ref="A5:G252" xr:uid="{00000000-0009-0000-0000-000002000000}"/>
  <mergeCells count="12">
    <mergeCell ref="B2:H5"/>
    <mergeCell ref="B7:D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D35FC747-94B0-48EE-A5C1-B0ECB44758BC}">
          <x14:formula1>
            <xm:f>Categorias!$A:$A</xm:f>
          </x14:formula1>
          <xm:sqref>D13:D257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BC3E6-C8BB-4C04-A280-74A3153732F5}">
  <dimension ref="A1:L1003"/>
  <sheetViews>
    <sheetView showGridLines="0" topLeftCell="A132" workbookViewId="0">
      <selection activeCell="B13" sqref="B13"/>
    </sheetView>
  </sheetViews>
  <sheetFormatPr defaultColWidth="12.6640625" defaultRowHeight="15" customHeight="1"/>
  <cols>
    <col min="1" max="1" width="5.33203125" style="77" customWidth="1"/>
    <col min="2" max="2" width="13" style="76" bestFit="1" customWidth="1"/>
    <col min="3" max="3" width="43.77734375" style="7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12" s="8" customFormat="1" ht="4.5" customHeight="1">
      <c r="B1" s="76"/>
      <c r="C1" s="83"/>
      <c r="F1" s="85"/>
      <c r="G1" s="63"/>
    </row>
    <row r="2" spans="1:12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12" ht="12.75" customHeight="1">
      <c r="B3" s="137"/>
      <c r="C3" s="138"/>
      <c r="D3" s="138"/>
      <c r="E3" s="138"/>
      <c r="F3" s="138"/>
      <c r="G3" s="138"/>
      <c r="H3" s="138"/>
    </row>
    <row r="4" spans="1:12" ht="12.75" customHeight="1">
      <c r="B4" s="137"/>
      <c r="C4" s="138"/>
      <c r="D4" s="138"/>
      <c r="E4" s="138"/>
      <c r="F4" s="138"/>
      <c r="G4" s="138"/>
      <c r="H4" s="138"/>
    </row>
    <row r="5" spans="1:12" ht="12.75" customHeight="1">
      <c r="B5" s="139"/>
      <c r="C5" s="140"/>
      <c r="D5" s="140"/>
      <c r="E5" s="140"/>
      <c r="F5" s="140"/>
      <c r="G5" s="140"/>
      <c r="H5" s="140"/>
    </row>
    <row r="6" spans="1:12" s="8" customFormat="1" ht="3.75" customHeight="1">
      <c r="B6" s="76"/>
      <c r="C6" s="83"/>
      <c r="F6" s="85"/>
      <c r="G6" s="63"/>
    </row>
    <row r="7" spans="1:12" ht="21">
      <c r="A7" s="61"/>
      <c r="B7" s="149" t="s">
        <v>95</v>
      </c>
      <c r="C7" s="150"/>
      <c r="D7" s="150"/>
      <c r="E7" s="71"/>
      <c r="F7" s="71"/>
      <c r="G7" s="135">
        <f>D8+D9+D10+G8+G9+G10</f>
        <v>329.64</v>
      </c>
      <c r="H7" s="136"/>
    </row>
    <row r="8" spans="1:12" ht="15.6">
      <c r="A8" s="61"/>
      <c r="B8" s="148" t="s">
        <v>321</v>
      </c>
      <c r="C8" s="148"/>
      <c r="D8" s="65">
        <v>329.64</v>
      </c>
      <c r="E8" s="147" t="s">
        <v>93</v>
      </c>
      <c r="F8" s="148"/>
      <c r="G8" s="141"/>
      <c r="H8" s="142"/>
    </row>
    <row r="9" spans="1:12" ht="15.6">
      <c r="A9" s="61"/>
      <c r="B9" s="146" t="s">
        <v>91</v>
      </c>
      <c r="C9" s="146"/>
      <c r="D9" s="64"/>
      <c r="E9" s="145" t="s">
        <v>94</v>
      </c>
      <c r="F9" s="146"/>
      <c r="G9" s="143"/>
      <c r="H9" s="144"/>
      <c r="K9" s="2"/>
      <c r="L9" s="92"/>
    </row>
    <row r="10" spans="1:12" s="8" customFormat="1" ht="15.6">
      <c r="A10" s="61"/>
      <c r="B10" s="148" t="s">
        <v>92</v>
      </c>
      <c r="C10" s="148"/>
      <c r="D10" s="65"/>
      <c r="E10" s="145" t="s">
        <v>96</v>
      </c>
      <c r="F10" s="146"/>
      <c r="G10" s="141"/>
      <c r="H10" s="142"/>
      <c r="K10" s="26"/>
      <c r="L10" s="93"/>
    </row>
    <row r="11" spans="1:12" s="8" customFormat="1" ht="4.5" customHeight="1">
      <c r="B11" s="76"/>
      <c r="C11" s="83"/>
      <c r="F11" s="84"/>
      <c r="G11" s="84"/>
    </row>
    <row r="12" spans="1:12" ht="18">
      <c r="B12" s="67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12" ht="13.8">
      <c r="B13" s="94" t="s">
        <v>120</v>
      </c>
      <c r="C13" s="96" t="s">
        <v>143</v>
      </c>
      <c r="D13" s="1" t="s">
        <v>2</v>
      </c>
      <c r="E13" s="62" t="s">
        <v>314</v>
      </c>
      <c r="F13" s="81"/>
      <c r="G13" s="5">
        <v>1008</v>
      </c>
      <c r="H13" s="78">
        <f>G7+F13-G13</f>
        <v>-678.36</v>
      </c>
    </row>
    <row r="14" spans="1:12" ht="9.75" customHeight="1">
      <c r="B14" s="94" t="s">
        <v>120</v>
      </c>
      <c r="C14" s="96" t="s">
        <v>144</v>
      </c>
      <c r="D14" s="1" t="s">
        <v>68</v>
      </c>
      <c r="E14" s="1" t="str">
        <f>IF(ISERROR(VLOOKUP(D14,Categorias!A:B,2,0)),"",VLOOKUP(D14,Categorias!A:B,2,0))</f>
        <v>NÃO OPERACIONAL</v>
      </c>
      <c r="F14" s="81"/>
      <c r="G14" s="5">
        <v>3</v>
      </c>
      <c r="H14" s="79">
        <f t="shared" ref="H14:H82" si="0">H13+F14-G14</f>
        <v>-681.36</v>
      </c>
    </row>
    <row r="15" spans="1:12" ht="13.8">
      <c r="B15" s="94" t="s">
        <v>120</v>
      </c>
      <c r="C15" s="96" t="s">
        <v>145</v>
      </c>
      <c r="D15" s="1" t="s">
        <v>61</v>
      </c>
      <c r="E15" s="1" t="str">
        <f>IF(ISERROR(VLOOKUP(D15,Categorias!A:B,2,0)),"",VLOOKUP(D15,Categorias!A:B,2,0))</f>
        <v>RECEITA</v>
      </c>
      <c r="F15" s="81">
        <v>57</v>
      </c>
      <c r="G15" s="5"/>
      <c r="H15" s="79">
        <f t="shared" si="0"/>
        <v>-624.36</v>
      </c>
    </row>
    <row r="16" spans="1:12" ht="13.8">
      <c r="B16" s="94" t="s">
        <v>120</v>
      </c>
      <c r="C16" s="96" t="s">
        <v>146</v>
      </c>
      <c r="D16" s="1" t="s">
        <v>61</v>
      </c>
      <c r="E16" s="1" t="str">
        <f>IF(ISERROR(VLOOKUP(D16,Categorias!A:B,2,0)),"",VLOOKUP(D16,Categorias!A:B,2,0))</f>
        <v>RECEITA</v>
      </c>
      <c r="F16" s="81">
        <v>25</v>
      </c>
      <c r="G16" s="5"/>
      <c r="H16" s="79">
        <f t="shared" si="0"/>
        <v>-599.36</v>
      </c>
    </row>
    <row r="17" spans="2:9" ht="13.8">
      <c r="B17" s="94" t="s">
        <v>120</v>
      </c>
      <c r="C17" s="96" t="s">
        <v>147</v>
      </c>
      <c r="D17" s="1" t="s">
        <v>68</v>
      </c>
      <c r="E17" s="1" t="str">
        <f>IF(ISERROR(VLOOKUP(D17,Categorias!A:B,2,0)),"",VLOOKUP(D17,Categorias!A:B,2,0))</f>
        <v>NÃO OPERACIONAL</v>
      </c>
      <c r="F17" s="81"/>
      <c r="G17" s="5">
        <v>75</v>
      </c>
      <c r="H17" s="79">
        <f t="shared" si="0"/>
        <v>-674.36</v>
      </c>
    </row>
    <row r="18" spans="2:9" ht="13.8">
      <c r="B18" s="94" t="s">
        <v>120</v>
      </c>
      <c r="C18" s="96" t="s">
        <v>148</v>
      </c>
      <c r="D18" s="1" t="s">
        <v>68</v>
      </c>
      <c r="E18" s="1" t="str">
        <f>IF(ISERROR(VLOOKUP(D18,Categorias!A:B,2,0)),"",VLOOKUP(D18,Categorias!A:B,2,0))</f>
        <v>NÃO OPERACIONAL</v>
      </c>
      <c r="F18" s="81"/>
      <c r="G18" s="5">
        <v>25</v>
      </c>
      <c r="H18" s="79">
        <f t="shared" si="0"/>
        <v>-699.36</v>
      </c>
      <c r="I18" s="2"/>
    </row>
    <row r="19" spans="2:9" ht="13.8">
      <c r="B19" s="94" t="s">
        <v>120</v>
      </c>
      <c r="C19" s="96" t="s">
        <v>149</v>
      </c>
      <c r="D19" s="1" t="s">
        <v>68</v>
      </c>
      <c r="E19" s="1" t="str">
        <f>IF(ISERROR(VLOOKUP(D19,Categorias!A:B,2,0)),"",VLOOKUP(D19,Categorias!A:B,2,0))</f>
        <v>NÃO OPERACIONAL</v>
      </c>
      <c r="F19" s="81"/>
      <c r="G19" s="5">
        <v>18</v>
      </c>
      <c r="H19" s="79">
        <f t="shared" si="0"/>
        <v>-717.36</v>
      </c>
      <c r="I19" s="2"/>
    </row>
    <row r="20" spans="2:9" ht="13.8">
      <c r="B20" s="94" t="s">
        <v>120</v>
      </c>
      <c r="C20" s="96" t="s">
        <v>150</v>
      </c>
      <c r="D20" s="1" t="s">
        <v>61</v>
      </c>
      <c r="E20" s="1" t="str">
        <f>IF(ISERROR(VLOOKUP(D20,Categorias!A:B,2,0)),"",VLOOKUP(D20,Categorias!A:B,2,0))</f>
        <v>RECEITA</v>
      </c>
      <c r="F20" s="81">
        <v>25</v>
      </c>
      <c r="G20" s="5"/>
      <c r="H20" s="79">
        <f t="shared" si="0"/>
        <v>-692.36</v>
      </c>
      <c r="I20" s="2"/>
    </row>
    <row r="21" spans="2:9" ht="13.8">
      <c r="B21" s="94" t="s">
        <v>120</v>
      </c>
      <c r="C21" s="96" t="s">
        <v>151</v>
      </c>
      <c r="D21" s="1" t="s">
        <v>68</v>
      </c>
      <c r="E21" s="1" t="str">
        <f>IF(ISERROR(VLOOKUP(D21,Categorias!A:B,2,0)),"",VLOOKUP(D21,Categorias!A:B,2,0))</f>
        <v>NÃO OPERACIONAL</v>
      </c>
      <c r="F21" s="81"/>
      <c r="G21" s="5">
        <v>25</v>
      </c>
      <c r="H21" s="79">
        <f t="shared" si="0"/>
        <v>-717.36</v>
      </c>
    </row>
    <row r="22" spans="2:9" ht="13.8">
      <c r="B22" s="94" t="s">
        <v>120</v>
      </c>
      <c r="C22" s="96" t="s">
        <v>152</v>
      </c>
      <c r="D22" s="1" t="s">
        <v>61</v>
      </c>
      <c r="E22" s="1" t="str">
        <f>IF(ISERROR(VLOOKUP(D22,Categorias!A:B,2,0)),"",VLOOKUP(D22,Categorias!A:B,2,0))</f>
        <v>RECEITA</v>
      </c>
      <c r="F22" s="81">
        <v>25</v>
      </c>
      <c r="G22" s="5"/>
      <c r="H22" s="79">
        <f>H21+F22-G22</f>
        <v>-692.36</v>
      </c>
    </row>
    <row r="23" spans="2:9" ht="13.8">
      <c r="B23" s="94" t="s">
        <v>120</v>
      </c>
      <c r="C23" s="96" t="s">
        <v>153</v>
      </c>
      <c r="D23" s="1" t="s">
        <v>61</v>
      </c>
      <c r="E23" s="1" t="str">
        <f>IF(ISERROR(VLOOKUP(D23,Categorias!A:B,2,0)),"",VLOOKUP(D23,Categorias!A:B,2,0))</f>
        <v>RECEITA</v>
      </c>
      <c r="F23" s="81">
        <v>50</v>
      </c>
      <c r="G23" s="5"/>
      <c r="H23" s="79">
        <f t="shared" si="0"/>
        <v>-642.36</v>
      </c>
    </row>
    <row r="24" spans="2:9" ht="13.8">
      <c r="B24" s="94" t="s">
        <v>120</v>
      </c>
      <c r="C24" s="96" t="s">
        <v>154</v>
      </c>
      <c r="D24" s="1" t="s">
        <v>61</v>
      </c>
      <c r="E24" s="1" t="str">
        <f>IF(ISERROR(VLOOKUP(D24,Categorias!A:B,2,0)),"",VLOOKUP(D24,Categorias!A:B,2,0))</f>
        <v>RECEITA</v>
      </c>
      <c r="F24" s="81">
        <v>25</v>
      </c>
      <c r="G24" s="5"/>
      <c r="H24" s="79">
        <f t="shared" si="0"/>
        <v>-617.36</v>
      </c>
    </row>
    <row r="25" spans="2:9" ht="13.8">
      <c r="B25" s="94" t="s">
        <v>120</v>
      </c>
      <c r="C25" s="96" t="s">
        <v>155</v>
      </c>
      <c r="D25" s="1" t="s">
        <v>68</v>
      </c>
      <c r="E25" s="1" t="str">
        <f>IF(ISERROR(VLOOKUP(D25,Categorias!A:B,2,0)),"",VLOOKUP(D25,Categorias!A:B,2,0))</f>
        <v>NÃO OPERACIONAL</v>
      </c>
      <c r="F25" s="81"/>
      <c r="G25" s="5">
        <v>28</v>
      </c>
      <c r="H25" s="79">
        <f t="shared" si="0"/>
        <v>-645.36</v>
      </c>
    </row>
    <row r="26" spans="2:9" ht="13.8">
      <c r="B26" s="94" t="s">
        <v>120</v>
      </c>
      <c r="C26" s="96" t="s">
        <v>155</v>
      </c>
      <c r="D26" s="1" t="s">
        <v>61</v>
      </c>
      <c r="E26" s="1" t="str">
        <f>IF(ISERROR(VLOOKUP(D26,Categorias!A:B,2,0)),"",VLOOKUP(D26,Categorias!A:B,2,0))</f>
        <v>RECEITA</v>
      </c>
      <c r="F26" s="81">
        <v>53</v>
      </c>
      <c r="G26" s="5"/>
      <c r="H26" s="79">
        <f t="shared" si="0"/>
        <v>-592.36</v>
      </c>
    </row>
    <row r="27" spans="2:9" ht="13.8">
      <c r="B27" s="94" t="s">
        <v>120</v>
      </c>
      <c r="C27" s="96" t="s">
        <v>155</v>
      </c>
      <c r="D27" s="1" t="s">
        <v>61</v>
      </c>
      <c r="E27" s="1" t="str">
        <f>IF(ISERROR(VLOOKUP(D27,Categorias!A:B,2,0)),"",VLOOKUP(D27,Categorias!A:B,2,0))</f>
        <v>RECEITA</v>
      </c>
      <c r="F27" s="81">
        <v>53</v>
      </c>
      <c r="G27" s="5"/>
      <c r="H27" s="79">
        <f t="shared" si="0"/>
        <v>-539.36</v>
      </c>
    </row>
    <row r="28" spans="2:9" ht="13.8">
      <c r="B28" s="94" t="s">
        <v>120</v>
      </c>
      <c r="C28" s="96" t="s">
        <v>156</v>
      </c>
      <c r="D28" s="1" t="s">
        <v>61</v>
      </c>
      <c r="E28" s="1" t="str">
        <f>IF(ISERROR(VLOOKUP(D28,Categorias!A:B,2,0)),"",VLOOKUP(D28,Categorias!A:B,2,0))</f>
        <v>RECEITA</v>
      </c>
      <c r="F28" s="81">
        <v>25</v>
      </c>
      <c r="G28" s="5"/>
      <c r="H28" s="79">
        <f t="shared" si="0"/>
        <v>-514.36</v>
      </c>
    </row>
    <row r="29" spans="2:9" ht="13.8">
      <c r="B29" s="94" t="s">
        <v>121</v>
      </c>
      <c r="C29" s="96" t="s">
        <v>157</v>
      </c>
      <c r="D29" s="1" t="s">
        <v>9</v>
      </c>
      <c r="E29" s="1" t="str">
        <f>IF(ISERROR(VLOOKUP(D29,Categorias!A:B,2,0)),"",VLOOKUP(D29,Categorias!A:B,2,0))</f>
        <v>GASTOS VARIÁVEIS</v>
      </c>
      <c r="F29" s="81"/>
      <c r="G29" s="5">
        <v>90</v>
      </c>
      <c r="H29" s="79">
        <f>H28+F29-G29</f>
        <v>-604.36</v>
      </c>
    </row>
    <row r="30" spans="2:9" ht="13.8">
      <c r="B30" s="94" t="s">
        <v>121</v>
      </c>
      <c r="C30" s="96" t="s">
        <v>158</v>
      </c>
      <c r="D30" s="1" t="s">
        <v>61</v>
      </c>
      <c r="E30" s="1" t="str">
        <f>IF(ISERROR(VLOOKUP(D30,Categorias!A:B,2,0)),"",VLOOKUP(D30,Categorias!A:B,2,0))</f>
        <v>RECEITA</v>
      </c>
      <c r="F30" s="81">
        <v>50</v>
      </c>
      <c r="G30" s="5"/>
      <c r="H30" s="79">
        <f t="shared" si="0"/>
        <v>-554.36</v>
      </c>
    </row>
    <row r="31" spans="2:9" ht="13.8">
      <c r="B31" s="94" t="s">
        <v>121</v>
      </c>
      <c r="C31" s="96" t="s">
        <v>159</v>
      </c>
      <c r="D31" s="1" t="s">
        <v>61</v>
      </c>
      <c r="E31" s="1" t="str">
        <f>IF(ISERROR(VLOOKUP(D31,Categorias!A:B,2,0)),"",VLOOKUP(D31,Categorias!A:B,2,0))</f>
        <v>RECEITA</v>
      </c>
      <c r="F31" s="81">
        <v>25</v>
      </c>
      <c r="G31" s="5"/>
      <c r="H31" s="79">
        <f t="shared" si="0"/>
        <v>-529.36</v>
      </c>
    </row>
    <row r="32" spans="2:9" ht="13.8">
      <c r="B32" s="94" t="s">
        <v>121</v>
      </c>
      <c r="C32" s="96" t="s">
        <v>160</v>
      </c>
      <c r="D32" s="1" t="s">
        <v>61</v>
      </c>
      <c r="E32" s="1" t="str">
        <f>IF(ISERROR(VLOOKUP(D32,Categorias!A:B,2,0)),"",VLOOKUP(D32,Categorias!A:B,2,0))</f>
        <v>RECEITA</v>
      </c>
      <c r="F32" s="81">
        <v>25</v>
      </c>
      <c r="G32" s="5"/>
      <c r="H32" s="79">
        <f t="shared" si="0"/>
        <v>-504.36</v>
      </c>
    </row>
    <row r="33" spans="2:8" ht="13.8">
      <c r="B33" s="94" t="s">
        <v>121</v>
      </c>
      <c r="C33" s="97" t="s">
        <v>148</v>
      </c>
      <c r="D33" s="1" t="s">
        <v>68</v>
      </c>
      <c r="E33" s="1" t="str">
        <f>IF(ISERROR(VLOOKUP(D33,Categorias!A:B,2,0)),"",VLOOKUP(D33,Categorias!A:B,2,0))</f>
        <v>NÃO OPERACIONAL</v>
      </c>
      <c r="F33" s="81"/>
      <c r="G33" s="5">
        <v>17</v>
      </c>
      <c r="H33" s="79">
        <f t="shared" si="0"/>
        <v>-521.36</v>
      </c>
    </row>
    <row r="34" spans="2:8" ht="13.8">
      <c r="B34" s="94" t="s">
        <v>121</v>
      </c>
      <c r="C34" s="96" t="s">
        <v>161</v>
      </c>
      <c r="D34" s="1" t="s">
        <v>61</v>
      </c>
      <c r="E34" s="1" t="str">
        <f>IF(ISERROR(VLOOKUP(D34,Categorias!A:B,2,0)),"",VLOOKUP(D34,Categorias!A:B,2,0))</f>
        <v>RECEITA</v>
      </c>
      <c r="F34" s="81">
        <v>25</v>
      </c>
      <c r="G34" s="5"/>
      <c r="H34" s="79">
        <f t="shared" si="0"/>
        <v>-496.36</v>
      </c>
    </row>
    <row r="35" spans="2:8" ht="13.8">
      <c r="B35" s="95" t="s">
        <v>121</v>
      </c>
      <c r="C35" s="96" t="s">
        <v>162</v>
      </c>
      <c r="D35" s="1" t="s">
        <v>61</v>
      </c>
      <c r="E35" s="1" t="str">
        <f>IF(ISERROR(VLOOKUP(D35,Categorias!A:B,2,0)),"",VLOOKUP(D35,Categorias!A:B,2,0))</f>
        <v>RECEITA</v>
      </c>
      <c r="F35" s="81">
        <v>25</v>
      </c>
      <c r="G35" s="5"/>
      <c r="H35" s="79">
        <f t="shared" si="0"/>
        <v>-471.36</v>
      </c>
    </row>
    <row r="36" spans="2:8" ht="13.8">
      <c r="B36" s="95" t="s">
        <v>121</v>
      </c>
      <c r="C36" s="97" t="s">
        <v>163</v>
      </c>
      <c r="D36" s="1" t="s">
        <v>61</v>
      </c>
      <c r="E36" s="1" t="str">
        <f>IF(ISERROR(VLOOKUP(D36,Categorias!A:B,2,0)),"",VLOOKUP(D36,Categorias!A:B,2,0))</f>
        <v>RECEITA</v>
      </c>
      <c r="F36" s="81">
        <v>10</v>
      </c>
      <c r="G36" s="5"/>
      <c r="H36" s="79">
        <f t="shared" si="0"/>
        <v>-461.36</v>
      </c>
    </row>
    <row r="37" spans="2:8" ht="13.8">
      <c r="B37" s="95" t="s">
        <v>121</v>
      </c>
      <c r="C37" s="97" t="s">
        <v>163</v>
      </c>
      <c r="D37" s="1" t="s">
        <v>61</v>
      </c>
      <c r="E37" s="1" t="str">
        <f>IF(ISERROR(VLOOKUP(D37,Categorias!A:B,2,0)),"",VLOOKUP(D37,Categorias!A:B,2,0))</f>
        <v>RECEITA</v>
      </c>
      <c r="F37" s="81">
        <v>25</v>
      </c>
      <c r="G37" s="5"/>
      <c r="H37" s="79">
        <f t="shared" si="0"/>
        <v>-436.36</v>
      </c>
    </row>
    <row r="38" spans="2:8" ht="13.8">
      <c r="B38" s="95" t="s">
        <v>121</v>
      </c>
      <c r="C38" s="97" t="s">
        <v>164</v>
      </c>
      <c r="D38" s="1" t="s">
        <v>61</v>
      </c>
      <c r="E38" s="1" t="str">
        <f>IF(ISERROR(VLOOKUP(D38,Categorias!A:B,2,0)),"",VLOOKUP(D38,Categorias!A:B,2,0))</f>
        <v>RECEITA</v>
      </c>
      <c r="F38" s="81">
        <v>25</v>
      </c>
      <c r="G38" s="5"/>
      <c r="H38" s="79">
        <f t="shared" si="0"/>
        <v>-411.36</v>
      </c>
    </row>
    <row r="39" spans="2:8" ht="13.8">
      <c r="B39" s="95" t="s">
        <v>121</v>
      </c>
      <c r="C39" s="97" t="s">
        <v>165</v>
      </c>
      <c r="D39" s="1" t="s">
        <v>61</v>
      </c>
      <c r="E39" s="1" t="str">
        <f>IF(ISERROR(VLOOKUP(D39,Categorias!A:B,2,0)),"",VLOOKUP(D39,Categorias!A:B,2,0))</f>
        <v>RECEITA</v>
      </c>
      <c r="F39" s="81">
        <v>25</v>
      </c>
      <c r="G39" s="5"/>
      <c r="H39" s="79">
        <f t="shared" si="0"/>
        <v>-386.36</v>
      </c>
    </row>
    <row r="40" spans="2:8" ht="13.8">
      <c r="B40" s="95" t="s">
        <v>121</v>
      </c>
      <c r="C40" s="96" t="s">
        <v>156</v>
      </c>
      <c r="D40" s="1" t="s">
        <v>61</v>
      </c>
      <c r="E40" s="1" t="str">
        <f>IF(ISERROR(VLOOKUP(D40,Categorias!A:B,2,0)),"",VLOOKUP(D40,Categorias!A:B,2,0))</f>
        <v>RECEITA</v>
      </c>
      <c r="F40" s="81">
        <v>50</v>
      </c>
      <c r="G40" s="5"/>
      <c r="H40" s="79">
        <f t="shared" si="0"/>
        <v>-336.36</v>
      </c>
    </row>
    <row r="41" spans="2:8" ht="13.8">
      <c r="B41" s="95" t="s">
        <v>121</v>
      </c>
      <c r="C41" s="97" t="s">
        <v>166</v>
      </c>
      <c r="D41" s="1" t="s">
        <v>61</v>
      </c>
      <c r="E41" s="1" t="str">
        <f>IF(ISERROR(VLOOKUP(D41,Categorias!A:B,2,0)),"",VLOOKUP(D41,Categorias!A:B,2,0))</f>
        <v>RECEITA</v>
      </c>
      <c r="F41" s="81">
        <v>50</v>
      </c>
      <c r="G41" s="5"/>
      <c r="H41" s="79">
        <f t="shared" si="0"/>
        <v>-286.36</v>
      </c>
    </row>
    <row r="42" spans="2:8" ht="13.8">
      <c r="B42" s="95" t="s">
        <v>121</v>
      </c>
      <c r="C42" s="97" t="s">
        <v>167</v>
      </c>
      <c r="D42" s="1" t="s">
        <v>61</v>
      </c>
      <c r="E42" s="1" t="str">
        <f>IF(ISERROR(VLOOKUP(D42,Categorias!A:B,2,0)),"",VLOOKUP(D42,Categorias!A:B,2,0))</f>
        <v>RECEITA</v>
      </c>
      <c r="F42" s="81">
        <v>25</v>
      </c>
      <c r="G42" s="5"/>
      <c r="H42" s="79">
        <f t="shared" si="0"/>
        <v>-261.36</v>
      </c>
    </row>
    <row r="43" spans="2:8" ht="13.8">
      <c r="B43" s="95" t="s">
        <v>122</v>
      </c>
      <c r="C43" s="97" t="s">
        <v>168</v>
      </c>
      <c r="D43" s="1" t="s">
        <v>2</v>
      </c>
      <c r="E43" s="1" t="str">
        <f>IF(ISERROR(VLOOKUP(D43,Categorias!A:B,2,0)),"",VLOOKUP(D43,Categorias!A:B,2,0))</f>
        <v>GASTOS VARIÁVEIS</v>
      </c>
      <c r="F43" s="81"/>
      <c r="G43" s="5">
        <v>75.59</v>
      </c>
      <c r="H43" s="79">
        <f t="shared" si="0"/>
        <v>-336.95000000000005</v>
      </c>
    </row>
    <row r="44" spans="2:8" ht="13.8">
      <c r="B44" s="95" t="s">
        <v>122</v>
      </c>
      <c r="C44" s="96" t="s">
        <v>169</v>
      </c>
      <c r="D44" s="1" t="s">
        <v>67</v>
      </c>
      <c r="E44" s="1" t="str">
        <f>IF(ISERROR(VLOOKUP(D44,Categorias!A:B,2,0)),"",VLOOKUP(D44,Categorias!A:B,2,0))</f>
        <v>INVESTIMENTOS</v>
      </c>
      <c r="F44" s="81"/>
      <c r="G44" s="5">
        <v>180</v>
      </c>
      <c r="H44" s="79">
        <f t="shared" si="0"/>
        <v>-516.95000000000005</v>
      </c>
    </row>
    <row r="45" spans="2:8" ht="13.8">
      <c r="B45" s="95" t="s">
        <v>122</v>
      </c>
      <c r="C45" s="83" t="s">
        <v>170</v>
      </c>
      <c r="D45" s="1" t="s">
        <v>68</v>
      </c>
      <c r="E45" s="1" t="str">
        <f>IF(ISERROR(VLOOKUP(D45,Categorias!A:B,2,0)),"",VLOOKUP(D45,Categorias!A:B,2,0))</f>
        <v>NÃO OPERACIONAL</v>
      </c>
      <c r="F45" s="81"/>
      <c r="G45" s="5">
        <v>18</v>
      </c>
      <c r="H45" s="79">
        <f t="shared" si="0"/>
        <v>-534.95000000000005</v>
      </c>
    </row>
    <row r="46" spans="2:8" ht="13.8">
      <c r="B46" s="95" t="s">
        <v>122</v>
      </c>
      <c r="C46" s="83" t="s">
        <v>171</v>
      </c>
      <c r="D46" s="1" t="s">
        <v>2</v>
      </c>
      <c r="E46" s="1" t="str">
        <f>IF(ISERROR(VLOOKUP(D46,Categorias!A:B,2,0)),"",VLOOKUP(D46,Categorias!A:B,2,0))</f>
        <v>GASTOS VARIÁVEIS</v>
      </c>
      <c r="F46" s="81"/>
      <c r="G46" s="5">
        <v>300</v>
      </c>
      <c r="H46" s="79">
        <f t="shared" si="0"/>
        <v>-834.95</v>
      </c>
    </row>
    <row r="47" spans="2:8" ht="13.8">
      <c r="B47" s="95" t="s">
        <v>122</v>
      </c>
      <c r="C47" s="83" t="s">
        <v>159</v>
      </c>
      <c r="D47" s="1" t="s">
        <v>61</v>
      </c>
      <c r="E47" s="1" t="str">
        <f>IF(ISERROR(VLOOKUP(D47,Categorias!A:B,2,0)),"",VLOOKUP(D47,Categorias!A:B,2,0))</f>
        <v>RECEITA</v>
      </c>
      <c r="F47" s="81">
        <v>25</v>
      </c>
      <c r="G47" s="5"/>
      <c r="H47" s="79">
        <f t="shared" si="0"/>
        <v>-809.95</v>
      </c>
    </row>
    <row r="48" spans="2:8" ht="13.8">
      <c r="B48" s="95" t="s">
        <v>122</v>
      </c>
      <c r="C48" s="83" t="s">
        <v>172</v>
      </c>
      <c r="D48" s="1" t="s">
        <v>61</v>
      </c>
      <c r="E48" s="1" t="str">
        <f>IF(ISERROR(VLOOKUP(D48,Categorias!A:B,2,0)),"",VLOOKUP(D48,Categorias!A:B,2,0))</f>
        <v>RECEITA</v>
      </c>
      <c r="F48" s="81">
        <v>25</v>
      </c>
      <c r="G48" s="5"/>
      <c r="H48" s="79">
        <f t="shared" si="0"/>
        <v>-784.95</v>
      </c>
    </row>
    <row r="49" spans="2:8" ht="13.8">
      <c r="B49" s="95" t="s">
        <v>122</v>
      </c>
      <c r="C49" s="83" t="s">
        <v>173</v>
      </c>
      <c r="D49" s="1" t="s">
        <v>61</v>
      </c>
      <c r="E49" s="1" t="str">
        <f>IF(ISERROR(VLOOKUP(D49,Categorias!A:B,2,0)),"",VLOOKUP(D49,Categorias!A:B,2,0))</f>
        <v>RECEITA</v>
      </c>
      <c r="F49" s="81">
        <v>10</v>
      </c>
      <c r="G49" s="5"/>
      <c r="H49" s="79">
        <f t="shared" si="0"/>
        <v>-774.95</v>
      </c>
    </row>
    <row r="50" spans="2:8" ht="13.8">
      <c r="B50" s="95" t="s">
        <v>122</v>
      </c>
      <c r="C50" s="96" t="s">
        <v>174</v>
      </c>
      <c r="D50" s="1" t="s">
        <v>61</v>
      </c>
      <c r="E50" s="1" t="str">
        <f>IF(ISERROR(VLOOKUP(D50,Categorias!A:B,2,0)),"",VLOOKUP(D50,Categorias!A:B,2,0))</f>
        <v>RECEITA</v>
      </c>
      <c r="F50" s="81">
        <v>25</v>
      </c>
      <c r="G50" s="5"/>
      <c r="H50" s="79">
        <f t="shared" si="0"/>
        <v>-749.95</v>
      </c>
    </row>
    <row r="51" spans="2:8" ht="13.8">
      <c r="B51" s="95" t="s">
        <v>122</v>
      </c>
      <c r="C51" s="97" t="s">
        <v>175</v>
      </c>
      <c r="D51" s="1" t="s">
        <v>61</v>
      </c>
      <c r="E51" s="1" t="str">
        <f>IF(ISERROR(VLOOKUP(D51,Categorias!A:B,2,0)),"",VLOOKUP(D51,Categorias!A:B,2,0))</f>
        <v>RECEITA</v>
      </c>
      <c r="F51" s="81">
        <v>60</v>
      </c>
      <c r="G51" s="5"/>
      <c r="H51" s="79">
        <f t="shared" si="0"/>
        <v>-689.95</v>
      </c>
    </row>
    <row r="52" spans="2:8" ht="13.8">
      <c r="B52" s="95" t="s">
        <v>122</v>
      </c>
      <c r="C52" s="83" t="s">
        <v>176</v>
      </c>
      <c r="D52" s="1" t="s">
        <v>61</v>
      </c>
      <c r="E52" s="1" t="str">
        <f>IF(ISERROR(VLOOKUP(D52,Categorias!A:B,2,0)),"",VLOOKUP(D52,Categorias!A:B,2,0))</f>
        <v>RECEITA</v>
      </c>
      <c r="F52" s="81">
        <v>25</v>
      </c>
      <c r="G52" s="5"/>
      <c r="H52" s="79">
        <f t="shared" si="0"/>
        <v>-664.95</v>
      </c>
    </row>
    <row r="53" spans="2:8" ht="13.8">
      <c r="B53" s="95" t="s">
        <v>123</v>
      </c>
      <c r="C53" s="83" t="s">
        <v>177</v>
      </c>
      <c r="D53" s="1" t="s">
        <v>5</v>
      </c>
      <c r="E53" s="1" t="str">
        <f>IF(ISERROR(VLOOKUP(D53,Categorias!A:B,2,0)),"",VLOOKUP(D53,Categorias!A:B,2,0))</f>
        <v>DESPESAS FIXAS</v>
      </c>
      <c r="F53" s="81"/>
      <c r="G53" s="5">
        <v>40</v>
      </c>
      <c r="H53" s="79">
        <f t="shared" si="0"/>
        <v>-704.95</v>
      </c>
    </row>
    <row r="54" spans="2:8" ht="13.8">
      <c r="B54" s="95" t="s">
        <v>124</v>
      </c>
      <c r="C54" s="83" t="s">
        <v>178</v>
      </c>
      <c r="D54" s="1" t="s">
        <v>8</v>
      </c>
      <c r="E54" s="1" t="str">
        <f>IF(ISERROR(VLOOKUP(D54,Categorias!A:B,2,0)),"",VLOOKUP(D54,Categorias!A:B,2,0))</f>
        <v>NÃO OPERACIONAL</v>
      </c>
      <c r="F54" s="81"/>
      <c r="G54" s="5">
        <v>106.13</v>
      </c>
      <c r="H54" s="79">
        <f t="shared" si="0"/>
        <v>-811.08</v>
      </c>
    </row>
    <row r="55" spans="2:8" ht="13.8">
      <c r="B55" s="95" t="s">
        <v>124</v>
      </c>
      <c r="C55" s="83" t="s">
        <v>178</v>
      </c>
      <c r="D55" s="1" t="s">
        <v>8</v>
      </c>
      <c r="E55" s="1" t="str">
        <f>IF(ISERROR(VLOOKUP(D55,Categorias!A:B,2,0)),"",VLOOKUP(D55,Categorias!A:B,2,0))</f>
        <v>NÃO OPERACIONAL</v>
      </c>
      <c r="F55" s="81">
        <v>106.13</v>
      </c>
      <c r="G55" s="5"/>
      <c r="H55" s="79">
        <f t="shared" si="0"/>
        <v>-704.95</v>
      </c>
    </row>
    <row r="56" spans="2:8" ht="13.8">
      <c r="B56" s="95" t="s">
        <v>124</v>
      </c>
      <c r="C56" s="83" t="s">
        <v>178</v>
      </c>
      <c r="D56" s="1" t="s">
        <v>8</v>
      </c>
      <c r="E56" s="1" t="str">
        <f>IF(ISERROR(VLOOKUP(D56,Categorias!A:B,2,0)),"",VLOOKUP(D56,Categorias!A:B,2,0))</f>
        <v>NÃO OPERACIONAL</v>
      </c>
      <c r="F56" s="81"/>
      <c r="G56" s="5">
        <v>106.13</v>
      </c>
      <c r="H56" s="79">
        <f t="shared" si="0"/>
        <v>-811.08</v>
      </c>
    </row>
    <row r="57" spans="2:8" ht="13.8">
      <c r="B57" s="95" t="s">
        <v>124</v>
      </c>
      <c r="C57" s="83" t="s">
        <v>178</v>
      </c>
      <c r="D57" s="1" t="s">
        <v>8</v>
      </c>
      <c r="E57" s="1" t="str">
        <f>IF(ISERROR(VLOOKUP(D57,Categorias!A:B,2,0)),"",VLOOKUP(D57,Categorias!A:B,2,0))</f>
        <v>NÃO OPERACIONAL</v>
      </c>
      <c r="F57" s="81">
        <v>106.13</v>
      </c>
      <c r="G57" s="5"/>
      <c r="H57" s="79">
        <f t="shared" si="0"/>
        <v>-704.95</v>
      </c>
    </row>
    <row r="58" spans="2:8" ht="13.8">
      <c r="B58" s="95" t="s">
        <v>124</v>
      </c>
      <c r="C58" s="83" t="s">
        <v>178</v>
      </c>
      <c r="D58" s="1" t="s">
        <v>12</v>
      </c>
      <c r="E58" s="1" t="str">
        <f>IF(ISERROR(VLOOKUP(D58,Categorias!A:B,2,0)),"",VLOOKUP(D58,Categorias!A:B,2,0))</f>
        <v>NÃO OPERACIONAL</v>
      </c>
      <c r="F58" s="81"/>
      <c r="G58" s="5">
        <v>106.13</v>
      </c>
      <c r="H58" s="79">
        <f t="shared" si="0"/>
        <v>-811.08</v>
      </c>
    </row>
    <row r="59" spans="2:8" ht="13.8">
      <c r="B59" s="95" t="s">
        <v>124</v>
      </c>
      <c r="C59" s="83" t="s">
        <v>179</v>
      </c>
      <c r="D59" s="1" t="s">
        <v>12</v>
      </c>
      <c r="E59" s="1" t="str">
        <f>IF(ISERROR(VLOOKUP(D59,Categorias!A:B,2,0)),"",VLOOKUP(D59,Categorias!A:B,2,0))</f>
        <v>NÃO OPERACIONAL</v>
      </c>
      <c r="F59" s="81"/>
      <c r="G59" s="5">
        <v>130</v>
      </c>
      <c r="H59" s="79">
        <f t="shared" si="0"/>
        <v>-941.08</v>
      </c>
    </row>
    <row r="60" spans="2:8" ht="13.8">
      <c r="B60" s="95" t="s">
        <v>124</v>
      </c>
      <c r="C60" s="83" t="s">
        <v>180</v>
      </c>
      <c r="D60" s="1" t="s">
        <v>61</v>
      </c>
      <c r="E60" s="1" t="str">
        <f>IF(ISERROR(VLOOKUP(D60,Categorias!A:B,2,0)),"",VLOOKUP(D60,Categorias!A:B,2,0))</f>
        <v>RECEITA</v>
      </c>
      <c r="F60" s="81">
        <v>25</v>
      </c>
      <c r="G60" s="5"/>
      <c r="H60" s="79">
        <f t="shared" si="0"/>
        <v>-916.08</v>
      </c>
    </row>
    <row r="61" spans="2:8" ht="13.8">
      <c r="B61" s="95" t="s">
        <v>124</v>
      </c>
      <c r="C61" s="83" t="s">
        <v>181</v>
      </c>
      <c r="D61" s="1" t="s">
        <v>61</v>
      </c>
      <c r="E61" s="1" t="str">
        <f>IF(ISERROR(VLOOKUP(D61,Categorias!A:B,2,0)),"",VLOOKUP(D61,Categorias!A:B,2,0))</f>
        <v>RECEITA</v>
      </c>
      <c r="F61" s="81">
        <v>25</v>
      </c>
      <c r="G61" s="5"/>
      <c r="H61" s="79">
        <f t="shared" si="0"/>
        <v>-891.08</v>
      </c>
    </row>
    <row r="62" spans="2:8" ht="13.8">
      <c r="B62" s="95" t="s">
        <v>124</v>
      </c>
      <c r="C62" s="83" t="s">
        <v>182</v>
      </c>
      <c r="D62" s="1" t="s">
        <v>68</v>
      </c>
      <c r="E62" s="1" t="str">
        <f>IF(ISERROR(VLOOKUP(D62,Categorias!A:B,2,0)),"",VLOOKUP(D62,Categorias!A:B,2,0))</f>
        <v>NÃO OPERACIONAL</v>
      </c>
      <c r="F62" s="81"/>
      <c r="G62" s="5">
        <v>25</v>
      </c>
      <c r="H62" s="79">
        <f t="shared" si="0"/>
        <v>-916.08</v>
      </c>
    </row>
    <row r="63" spans="2:8" ht="13.8">
      <c r="B63" s="95" t="s">
        <v>124</v>
      </c>
      <c r="C63" s="83" t="s">
        <v>183</v>
      </c>
      <c r="D63" s="1" t="s">
        <v>61</v>
      </c>
      <c r="E63" s="1" t="str">
        <f>IF(ISERROR(VLOOKUP(D63,Categorias!A:B,2,0)),"",VLOOKUP(D63,Categorias!A:B,2,0))</f>
        <v>RECEITA</v>
      </c>
      <c r="F63" s="81">
        <v>8</v>
      </c>
      <c r="G63" s="5"/>
      <c r="H63" s="79">
        <f t="shared" si="0"/>
        <v>-908.08</v>
      </c>
    </row>
    <row r="64" spans="2:8" ht="13.8">
      <c r="B64" s="95" t="s">
        <v>124</v>
      </c>
      <c r="C64" s="83" t="s">
        <v>175</v>
      </c>
      <c r="D64" s="1" t="s">
        <v>61</v>
      </c>
      <c r="E64" s="1" t="str">
        <f>IF(ISERROR(VLOOKUP(D64,Categorias!A:B,2,0)),"",VLOOKUP(D64,Categorias!A:B,2,0))</f>
        <v>RECEITA</v>
      </c>
      <c r="F64" s="81">
        <v>60</v>
      </c>
      <c r="G64" s="5"/>
      <c r="H64" s="79">
        <f t="shared" si="0"/>
        <v>-848.08</v>
      </c>
    </row>
    <row r="65" spans="2:9" ht="13.8">
      <c r="B65" s="95" t="s">
        <v>124</v>
      </c>
      <c r="C65" s="83" t="s">
        <v>156</v>
      </c>
      <c r="D65" s="1" t="s">
        <v>61</v>
      </c>
      <c r="E65" s="1" t="str">
        <f>IF(ISERROR(VLOOKUP(D65,Categorias!A:B,2,0)),"",VLOOKUP(D65,Categorias!A:B,2,0))</f>
        <v>RECEITA</v>
      </c>
      <c r="F65" s="81">
        <v>33</v>
      </c>
      <c r="G65" s="5"/>
      <c r="H65" s="79">
        <f t="shared" si="0"/>
        <v>-815.08</v>
      </c>
    </row>
    <row r="66" spans="2:9" ht="13.8">
      <c r="B66" s="95" t="s">
        <v>124</v>
      </c>
      <c r="C66" s="83" t="s">
        <v>184</v>
      </c>
      <c r="D66" s="1" t="s">
        <v>61</v>
      </c>
      <c r="E66" s="1" t="str">
        <f>IF(ISERROR(VLOOKUP(D66,Categorias!A:B,2,0)),"",VLOOKUP(D66,Categorias!A:B,2,0))</f>
        <v>RECEITA</v>
      </c>
      <c r="F66" s="81">
        <v>25</v>
      </c>
      <c r="G66" s="5"/>
      <c r="H66" s="79">
        <f t="shared" si="0"/>
        <v>-790.08</v>
      </c>
    </row>
    <row r="67" spans="2:9" ht="13.8">
      <c r="B67" s="95" t="s">
        <v>124</v>
      </c>
      <c r="C67" s="83" t="s">
        <v>185</v>
      </c>
      <c r="D67" s="1" t="s">
        <v>61</v>
      </c>
      <c r="E67" s="1" t="str">
        <f>IF(ISERROR(VLOOKUP(D67,Categorias!A:B,2,0)),"",VLOOKUP(D67,Categorias!A:B,2,0))</f>
        <v>RECEITA</v>
      </c>
      <c r="F67" s="81">
        <v>50</v>
      </c>
      <c r="G67" s="5"/>
      <c r="H67" s="79">
        <f t="shared" si="0"/>
        <v>-740.08</v>
      </c>
    </row>
    <row r="68" spans="2:9" ht="13.8">
      <c r="B68" s="95" t="s">
        <v>124</v>
      </c>
      <c r="C68" s="83" t="s">
        <v>186</v>
      </c>
      <c r="D68" s="1" t="s">
        <v>61</v>
      </c>
      <c r="E68" s="1" t="str">
        <f>IF(ISERROR(VLOOKUP(D68,Categorias!A:B,2,0)),"",VLOOKUP(D68,Categorias!A:B,2,0))</f>
        <v>RECEITA</v>
      </c>
      <c r="F68" s="81">
        <v>50</v>
      </c>
      <c r="G68" s="5"/>
      <c r="H68" s="79">
        <f t="shared" si="0"/>
        <v>-690.08</v>
      </c>
    </row>
    <row r="69" spans="2:9" ht="13.8">
      <c r="B69" s="95" t="s">
        <v>124</v>
      </c>
      <c r="C69" s="97" t="s">
        <v>167</v>
      </c>
      <c r="D69" s="1" t="s">
        <v>61</v>
      </c>
      <c r="E69" s="1" t="str">
        <f>IF(ISERROR(VLOOKUP(D69,Categorias!A:B,2,0)),"",VLOOKUP(D69,Categorias!A:B,2,0))</f>
        <v>RECEITA</v>
      </c>
      <c r="F69" s="81">
        <v>25</v>
      </c>
      <c r="G69" s="5"/>
      <c r="H69" s="79">
        <f t="shared" si="0"/>
        <v>-665.08</v>
      </c>
    </row>
    <row r="70" spans="2:9" ht="13.8">
      <c r="B70" s="95" t="s">
        <v>124</v>
      </c>
      <c r="C70" s="97" t="s">
        <v>177</v>
      </c>
      <c r="D70" s="1" t="s">
        <v>8</v>
      </c>
      <c r="E70" s="1" t="str">
        <f>IF(ISERROR(VLOOKUP(D70,Categorias!A:B,2,0)),"",VLOOKUP(D70,Categorias!A:B,2,0))</f>
        <v>NÃO OPERACIONAL</v>
      </c>
      <c r="F70" s="81"/>
      <c r="G70" s="5">
        <v>20</v>
      </c>
      <c r="H70" s="79">
        <f t="shared" si="0"/>
        <v>-685.08</v>
      </c>
    </row>
    <row r="71" spans="2:9" ht="13.8">
      <c r="B71" s="95" t="s">
        <v>124</v>
      </c>
      <c r="C71" s="96" t="s">
        <v>187</v>
      </c>
      <c r="D71" s="1" t="s">
        <v>61</v>
      </c>
      <c r="E71" s="1" t="str">
        <f>IF(ISERROR(VLOOKUP(D71,Categorias!A:B,2,0)),"",VLOOKUP(D71,Categorias!A:B,2,0))</f>
        <v>RECEITA</v>
      </c>
      <c r="F71" s="81">
        <v>24.51</v>
      </c>
      <c r="G71" s="5"/>
      <c r="H71" s="79">
        <f t="shared" si="0"/>
        <v>-660.57</v>
      </c>
    </row>
    <row r="72" spans="2:9" ht="13.8">
      <c r="B72" s="95" t="s">
        <v>124</v>
      </c>
      <c r="C72" s="96" t="s">
        <v>188</v>
      </c>
      <c r="D72" s="1" t="s">
        <v>61</v>
      </c>
      <c r="E72" s="1" t="str">
        <f>IF(ISERROR(VLOOKUP(D72,Categorias!A:B,2,0)),"",VLOOKUP(D72,Categorias!A:B,2,0))</f>
        <v>RECEITA</v>
      </c>
      <c r="F72" s="81">
        <v>24.71</v>
      </c>
      <c r="G72" s="5"/>
      <c r="H72" s="79">
        <f t="shared" si="0"/>
        <v>-635.86</v>
      </c>
      <c r="I72" s="2"/>
    </row>
    <row r="73" spans="2:9" ht="13.8">
      <c r="B73" s="95" t="s">
        <v>125</v>
      </c>
      <c r="C73" s="96" t="s">
        <v>189</v>
      </c>
      <c r="D73" s="1" t="s">
        <v>61</v>
      </c>
      <c r="E73" s="1" t="str">
        <f>IF(ISERROR(VLOOKUP(D73,Categorias!A:B,2,0)),"",VLOOKUP(D73,Categorias!A:B,2,0))</f>
        <v>RECEITA</v>
      </c>
      <c r="F73" s="81">
        <v>31</v>
      </c>
      <c r="G73" s="5"/>
      <c r="H73" s="79">
        <f t="shared" si="0"/>
        <v>-604.86</v>
      </c>
      <c r="I73" s="2"/>
    </row>
    <row r="74" spans="2:9" ht="13.8">
      <c r="B74" s="95" t="s">
        <v>125</v>
      </c>
      <c r="C74" s="97" t="s">
        <v>181</v>
      </c>
      <c r="D74" s="1" t="s">
        <v>61</v>
      </c>
      <c r="E74" s="1" t="str">
        <f>IF(ISERROR(VLOOKUP(D74,Categorias!A:B,2,0)),"",VLOOKUP(D74,Categorias!A:B,2,0))</f>
        <v>RECEITA</v>
      </c>
      <c r="F74" s="81">
        <v>25</v>
      </c>
      <c r="G74" s="5"/>
      <c r="H74" s="79">
        <f t="shared" si="0"/>
        <v>-579.86</v>
      </c>
    </row>
    <row r="75" spans="2:9" ht="13.8">
      <c r="B75" s="95" t="s">
        <v>125</v>
      </c>
      <c r="C75" s="97" t="s">
        <v>167</v>
      </c>
      <c r="D75" s="1" t="s">
        <v>61</v>
      </c>
      <c r="E75" s="1" t="str">
        <f>IF(ISERROR(VLOOKUP(D75,Categorias!A:B,2,0)),"",VLOOKUP(D75,Categorias!A:B,2,0))</f>
        <v>RECEITA</v>
      </c>
      <c r="F75" s="81">
        <v>25</v>
      </c>
      <c r="G75" s="5"/>
      <c r="H75" s="79">
        <f t="shared" si="0"/>
        <v>-554.86</v>
      </c>
    </row>
    <row r="76" spans="2:9" ht="13.8">
      <c r="B76" s="95" t="s">
        <v>125</v>
      </c>
      <c r="C76" s="97" t="s">
        <v>190</v>
      </c>
      <c r="D76" s="1" t="s">
        <v>61</v>
      </c>
      <c r="E76" s="1" t="str">
        <f>IF(ISERROR(VLOOKUP(D76,Categorias!A:B,2,0)),"",VLOOKUP(D76,Categorias!A:B,2,0))</f>
        <v>RECEITA</v>
      </c>
      <c r="F76" s="81">
        <v>50</v>
      </c>
      <c r="G76" s="5"/>
      <c r="H76" s="79">
        <f t="shared" si="0"/>
        <v>-504.86</v>
      </c>
    </row>
    <row r="77" spans="2:9" ht="13.8">
      <c r="B77" s="95" t="s">
        <v>125</v>
      </c>
      <c r="C77" s="97" t="s">
        <v>172</v>
      </c>
      <c r="D77" s="1" t="s">
        <v>61</v>
      </c>
      <c r="E77" s="1" t="str">
        <f>IF(ISERROR(VLOOKUP(D77,Categorias!A:B,2,0)),"",VLOOKUP(D77,Categorias!A:B,2,0))</f>
        <v>RECEITA</v>
      </c>
      <c r="F77" s="81">
        <v>25</v>
      </c>
      <c r="G77" s="5"/>
      <c r="H77" s="79">
        <f t="shared" si="0"/>
        <v>-479.86</v>
      </c>
    </row>
    <row r="78" spans="2:9" ht="13.8">
      <c r="B78" s="95" t="s">
        <v>125</v>
      </c>
      <c r="C78" s="97" t="s">
        <v>165</v>
      </c>
      <c r="D78" s="1" t="s">
        <v>61</v>
      </c>
      <c r="E78" s="1" t="str">
        <f>IF(ISERROR(VLOOKUP(D78,Categorias!A:B,2,0)),"",VLOOKUP(D78,Categorias!A:B,2,0))</f>
        <v>RECEITA</v>
      </c>
      <c r="F78" s="81">
        <v>25</v>
      </c>
      <c r="G78" s="5"/>
      <c r="H78" s="79">
        <f t="shared" si="0"/>
        <v>-454.86</v>
      </c>
      <c r="I78" s="2"/>
    </row>
    <row r="79" spans="2:9" ht="13.8">
      <c r="B79" s="95" t="s">
        <v>125</v>
      </c>
      <c r="C79" s="97" t="s">
        <v>166</v>
      </c>
      <c r="D79" s="1" t="s">
        <v>61</v>
      </c>
      <c r="E79" s="1" t="str">
        <f>IF(ISERROR(VLOOKUP(D79,Categorias!A:B,2,0)),"",VLOOKUP(D79,Categorias!A:B,2,0))</f>
        <v>RECEITA</v>
      </c>
      <c r="F79" s="81">
        <v>50</v>
      </c>
      <c r="G79" s="5"/>
      <c r="H79" s="79">
        <f t="shared" si="0"/>
        <v>-404.86</v>
      </c>
      <c r="I79" s="2"/>
    </row>
    <row r="80" spans="2:9" ht="13.8">
      <c r="B80" s="95" t="s">
        <v>125</v>
      </c>
      <c r="C80" s="97" t="s">
        <v>187</v>
      </c>
      <c r="D80" s="1" t="s">
        <v>61</v>
      </c>
      <c r="E80" s="1" t="str">
        <f>IF(ISERROR(VLOOKUP(D80,Categorias!A:B,2,0)),"",VLOOKUP(D80,Categorias!A:B,2,0))</f>
        <v>RECEITA</v>
      </c>
      <c r="F80" s="81">
        <v>87.73</v>
      </c>
      <c r="G80" s="5"/>
      <c r="H80" s="79">
        <f t="shared" si="0"/>
        <v>-317.13</v>
      </c>
      <c r="I80" s="2"/>
    </row>
    <row r="81" spans="2:9" ht="13.8">
      <c r="B81" s="95" t="s">
        <v>125</v>
      </c>
      <c r="C81" s="97" t="s">
        <v>188</v>
      </c>
      <c r="D81" s="1" t="s">
        <v>61</v>
      </c>
      <c r="E81" s="1" t="str">
        <f>IF(ISERROR(VLOOKUP(D81,Categorias!A:B,2,0)),"",VLOOKUP(D81,Categorias!A:B,2,0))</f>
        <v>RECEITA</v>
      </c>
      <c r="F81" s="81">
        <v>35.159999999999997</v>
      </c>
      <c r="G81" s="5"/>
      <c r="H81" s="79">
        <f t="shared" si="0"/>
        <v>-281.97000000000003</v>
      </c>
    </row>
    <row r="82" spans="2:9" ht="13.8">
      <c r="B82" s="95" t="s">
        <v>126</v>
      </c>
      <c r="C82" s="97" t="s">
        <v>191</v>
      </c>
      <c r="D82" s="1" t="s">
        <v>44</v>
      </c>
      <c r="E82" s="1" t="str">
        <f>IF(ISERROR(VLOOKUP(D82,Categorias!A:B,2,0)),"",VLOOKUP(D82,Categorias!A:B,2,0))</f>
        <v>INVESTIMENTOS</v>
      </c>
      <c r="F82" s="81"/>
      <c r="G82" s="5">
        <v>189.59</v>
      </c>
      <c r="H82" s="79">
        <f t="shared" si="0"/>
        <v>-471.56000000000006</v>
      </c>
    </row>
    <row r="83" spans="2:9" ht="13.8">
      <c r="B83" s="95" t="s">
        <v>126</v>
      </c>
      <c r="C83" s="97" t="s">
        <v>157</v>
      </c>
      <c r="D83" s="1" t="s">
        <v>61</v>
      </c>
      <c r="E83" s="1" t="str">
        <f>IF(ISERROR(VLOOKUP(D83,Categorias!A:B,2,0)),"",VLOOKUP(D83,Categorias!A:B,2,0))</f>
        <v>RECEITA</v>
      </c>
      <c r="F83" s="81">
        <v>27.99</v>
      </c>
      <c r="G83" s="5"/>
      <c r="H83" s="79">
        <f t="shared" ref="H83:H147" si="1">H82+F83-G83</f>
        <v>-443.57000000000005</v>
      </c>
    </row>
    <row r="84" spans="2:9" ht="13.8">
      <c r="B84" s="95" t="s">
        <v>126</v>
      </c>
      <c r="C84" s="97" t="s">
        <v>192</v>
      </c>
      <c r="D84" s="1" t="s">
        <v>61</v>
      </c>
      <c r="E84" s="1" t="str">
        <f>IF(ISERROR(VLOOKUP(D84,Categorias!A:B,2,0)),"",VLOOKUP(D84,Categorias!A:B,2,0))</f>
        <v>RECEITA</v>
      </c>
      <c r="F84" s="81">
        <v>35</v>
      </c>
      <c r="G84" s="5"/>
      <c r="H84" s="79">
        <f t="shared" si="1"/>
        <v>-408.57000000000005</v>
      </c>
    </row>
    <row r="85" spans="2:9" ht="13.8">
      <c r="B85" s="95" t="s">
        <v>126</v>
      </c>
      <c r="C85" s="97" t="s">
        <v>193</v>
      </c>
      <c r="D85" s="1" t="s">
        <v>61</v>
      </c>
      <c r="E85" s="1" t="str">
        <f>IF(ISERROR(VLOOKUP(D85,Categorias!A:B,2,0)),"",VLOOKUP(D85,Categorias!A:B,2,0))</f>
        <v>RECEITA</v>
      </c>
      <c r="F85" s="81">
        <v>25</v>
      </c>
      <c r="G85" s="5"/>
      <c r="H85" s="79">
        <f t="shared" si="1"/>
        <v>-383.57000000000005</v>
      </c>
      <c r="I85" s="2"/>
    </row>
    <row r="86" spans="2:9" ht="13.8">
      <c r="B86" s="95" t="s">
        <v>126</v>
      </c>
      <c r="C86" s="97" t="s">
        <v>194</v>
      </c>
      <c r="D86" s="1" t="s">
        <v>61</v>
      </c>
      <c r="E86" s="1" t="str">
        <f>IF(ISERROR(VLOOKUP(D86,Categorias!A:B,2,0)),"",VLOOKUP(D86,Categorias!A:B,2,0))</f>
        <v>RECEITA</v>
      </c>
      <c r="F86" s="81">
        <v>50</v>
      </c>
      <c r="G86" s="5"/>
      <c r="H86" s="79">
        <f t="shared" si="1"/>
        <v>-333.57000000000005</v>
      </c>
    </row>
    <row r="87" spans="2:9" ht="13.8">
      <c r="B87" s="95" t="s">
        <v>126</v>
      </c>
      <c r="C87" s="97" t="s">
        <v>195</v>
      </c>
      <c r="D87" s="1" t="s">
        <v>61</v>
      </c>
      <c r="E87" s="1" t="str">
        <f>IF(ISERROR(VLOOKUP(D87,Categorias!A:B,2,0)),"",VLOOKUP(D87,Categorias!A:B,2,0))</f>
        <v>RECEITA</v>
      </c>
      <c r="F87" s="81">
        <v>25</v>
      </c>
      <c r="G87" s="5"/>
      <c r="H87" s="79">
        <f t="shared" si="1"/>
        <v>-308.57000000000005</v>
      </c>
    </row>
    <row r="88" spans="2:9" ht="13.8">
      <c r="B88" s="95" t="s">
        <v>126</v>
      </c>
      <c r="C88" s="97" t="s">
        <v>196</v>
      </c>
      <c r="D88" s="1" t="s">
        <v>61</v>
      </c>
      <c r="E88" s="1" t="str">
        <f>IF(ISERROR(VLOOKUP(D88,Categorias!A:B,2,0)),"",VLOOKUP(D88,Categorias!A:B,2,0))</f>
        <v>RECEITA</v>
      </c>
      <c r="F88" s="81">
        <v>25</v>
      </c>
      <c r="G88" s="5"/>
      <c r="H88" s="79">
        <f t="shared" si="1"/>
        <v>-283.57000000000005</v>
      </c>
    </row>
    <row r="89" spans="2:9" ht="13.8">
      <c r="B89" s="95" t="s">
        <v>126</v>
      </c>
      <c r="C89" s="97" t="s">
        <v>197</v>
      </c>
      <c r="D89" s="1" t="s">
        <v>61</v>
      </c>
      <c r="E89" s="1" t="str">
        <f>IF(ISERROR(VLOOKUP(D89,Categorias!A:B,2,0)),"",VLOOKUP(D89,Categorias!A:B,2,0))</f>
        <v>RECEITA</v>
      </c>
      <c r="F89" s="81">
        <v>25</v>
      </c>
      <c r="G89" s="5"/>
      <c r="H89" s="79">
        <f t="shared" si="1"/>
        <v>-258.57000000000005</v>
      </c>
    </row>
    <row r="90" spans="2:9" ht="13.8">
      <c r="B90" s="95" t="s">
        <v>126</v>
      </c>
      <c r="C90" s="97" t="s">
        <v>187</v>
      </c>
      <c r="D90" s="1" t="s">
        <v>61</v>
      </c>
      <c r="E90" s="1" t="str">
        <f>IF(ISERROR(VLOOKUP(D90,Categorias!A:B,2,0)),"",VLOOKUP(D90,Categorias!A:B,2,0))</f>
        <v>RECEITA</v>
      </c>
      <c r="F90" s="81">
        <v>73.52</v>
      </c>
      <c r="G90" s="5"/>
      <c r="H90" s="79">
        <f t="shared" si="1"/>
        <v>-185.05000000000007</v>
      </c>
    </row>
    <row r="91" spans="2:9" ht="13.8">
      <c r="B91" s="95" t="s">
        <v>126</v>
      </c>
      <c r="C91" s="97" t="s">
        <v>187</v>
      </c>
      <c r="D91" s="1" t="s">
        <v>61</v>
      </c>
      <c r="E91" s="1" t="str">
        <f>IF(ISERROR(VLOOKUP(D91,Categorias!A:B,2,0)),"",VLOOKUP(D91,Categorias!A:B,2,0))</f>
        <v>RECEITA</v>
      </c>
      <c r="F91" s="81">
        <v>73.52</v>
      </c>
      <c r="G91" s="5"/>
      <c r="H91" s="79">
        <f t="shared" si="1"/>
        <v>-111.53000000000007</v>
      </c>
    </row>
    <row r="92" spans="2:9" ht="13.8">
      <c r="B92" s="95" t="s">
        <v>126</v>
      </c>
      <c r="C92" s="97" t="s">
        <v>187</v>
      </c>
      <c r="D92" s="1" t="s">
        <v>61</v>
      </c>
      <c r="E92" s="1" t="str">
        <f>IF(ISERROR(VLOOKUP(D92,Categorias!A:B,2,0)),"",VLOOKUP(D92,Categorias!A:B,2,0))</f>
        <v>RECEITA</v>
      </c>
      <c r="F92" s="81">
        <v>79.56</v>
      </c>
      <c r="G92" s="5"/>
      <c r="H92" s="79">
        <f t="shared" si="1"/>
        <v>-31.97000000000007</v>
      </c>
      <c r="I92" s="2"/>
    </row>
    <row r="93" spans="2:9" ht="13.8">
      <c r="B93" s="95" t="s">
        <v>126</v>
      </c>
      <c r="C93" s="97" t="s">
        <v>188</v>
      </c>
      <c r="D93" s="1" t="s">
        <v>61</v>
      </c>
      <c r="E93" s="1" t="str">
        <f>IF(ISERROR(VLOOKUP(#REF!,Categorias!A:B,2,0)),"",VLOOKUP(#REF!,Categorias!A:B,2,0))</f>
        <v/>
      </c>
      <c r="F93" s="81">
        <v>19.47</v>
      </c>
      <c r="G93" s="5"/>
      <c r="H93" s="79">
        <f t="shared" si="1"/>
        <v>-12.500000000000071</v>
      </c>
    </row>
    <row r="94" spans="2:9" ht="13.8">
      <c r="B94" s="95" t="s">
        <v>127</v>
      </c>
      <c r="C94" s="97" t="s">
        <v>177</v>
      </c>
      <c r="D94" s="1" t="s">
        <v>8</v>
      </c>
      <c r="E94" s="1" t="str">
        <f>IF(ISERROR(VLOOKUP(D94,Categorias!A:B,2,0)),"",VLOOKUP(D94,Categorias!A:B,2,0))</f>
        <v>NÃO OPERACIONAL</v>
      </c>
      <c r="F94" s="81"/>
      <c r="G94" s="5">
        <v>20</v>
      </c>
      <c r="H94" s="79">
        <f t="shared" si="1"/>
        <v>-32.500000000000071</v>
      </c>
    </row>
    <row r="95" spans="2:9" ht="13.8">
      <c r="B95" s="95" t="s">
        <v>127</v>
      </c>
      <c r="C95" s="97" t="s">
        <v>198</v>
      </c>
      <c r="D95" s="1" t="s">
        <v>12</v>
      </c>
      <c r="E95" s="1" t="str">
        <f>IF(ISERROR(VLOOKUP(D95,Categorias!A:B,2,0)),"",VLOOKUP(D95,Categorias!A:B,2,0))</f>
        <v>NÃO OPERACIONAL</v>
      </c>
      <c r="F95" s="81"/>
      <c r="G95" s="5">
        <v>150</v>
      </c>
      <c r="H95" s="79">
        <f t="shared" si="1"/>
        <v>-182.50000000000006</v>
      </c>
    </row>
    <row r="96" spans="2:9" ht="13.8">
      <c r="B96" s="95" t="s">
        <v>127</v>
      </c>
      <c r="C96" s="97" t="s">
        <v>199</v>
      </c>
      <c r="D96" s="1" t="s">
        <v>61</v>
      </c>
      <c r="E96" s="1" t="str">
        <f>IF(ISERROR(VLOOKUP(D96,Categorias!A:B,2,0)),"",VLOOKUP(D96,Categorias!A:B,2,0))</f>
        <v>RECEITA</v>
      </c>
      <c r="F96" s="81">
        <v>25</v>
      </c>
      <c r="G96" s="5"/>
      <c r="H96" s="79">
        <f t="shared" si="1"/>
        <v>-157.50000000000006</v>
      </c>
    </row>
    <row r="97" spans="2:9" ht="13.8">
      <c r="B97" s="95" t="s">
        <v>127</v>
      </c>
      <c r="C97" s="97" t="s">
        <v>200</v>
      </c>
      <c r="D97" s="1" t="s">
        <v>61</v>
      </c>
      <c r="E97" s="1" t="str">
        <f>IF(ISERROR(VLOOKUP(D97,Categorias!A:B,2,0)),"",VLOOKUP(D97,Categorias!A:B,2,0))</f>
        <v>RECEITA</v>
      </c>
      <c r="F97" s="81">
        <v>2</v>
      </c>
      <c r="G97" s="5"/>
      <c r="H97" s="79">
        <f t="shared" si="1"/>
        <v>-155.50000000000006</v>
      </c>
    </row>
    <row r="98" spans="2:9" ht="13.8">
      <c r="B98" s="95" t="s">
        <v>127</v>
      </c>
      <c r="C98" s="97" t="s">
        <v>200</v>
      </c>
      <c r="D98" s="1" t="s">
        <v>61</v>
      </c>
      <c r="E98" s="1" t="str">
        <f>IF(ISERROR(VLOOKUP(D98,Categorias!A:B,2,0)),"",VLOOKUP(D98,Categorias!A:B,2,0))</f>
        <v>RECEITA</v>
      </c>
      <c r="F98" s="81">
        <v>37</v>
      </c>
      <c r="G98" s="5"/>
      <c r="H98" s="79">
        <f t="shared" si="1"/>
        <v>-118.50000000000006</v>
      </c>
    </row>
    <row r="99" spans="2:9" ht="13.8">
      <c r="B99" s="95" t="s">
        <v>127</v>
      </c>
      <c r="C99" s="97" t="s">
        <v>196</v>
      </c>
      <c r="D99" s="1" t="s">
        <v>61</v>
      </c>
      <c r="E99" s="1" t="str">
        <f>IF(ISERROR(VLOOKUP(D99,Categorias!A:B,2,0)),"",VLOOKUP(D99,Categorias!A:B,2,0))</f>
        <v>RECEITA</v>
      </c>
      <c r="F99" s="81">
        <v>25</v>
      </c>
      <c r="G99" s="5"/>
      <c r="H99" s="79">
        <f t="shared" si="1"/>
        <v>-93.500000000000057</v>
      </c>
    </row>
    <row r="100" spans="2:9" ht="13.8">
      <c r="B100" s="95" t="s">
        <v>127</v>
      </c>
      <c r="C100" s="97" t="s">
        <v>201</v>
      </c>
      <c r="D100" s="1" t="s">
        <v>61</v>
      </c>
      <c r="E100" s="1" t="str">
        <f>IF(ISERROR(VLOOKUP(D100,Categorias!A:B,2,0)),"",VLOOKUP(D100,Categorias!A:B,2,0))</f>
        <v>RECEITA</v>
      </c>
      <c r="F100" s="81">
        <v>25</v>
      </c>
      <c r="G100" s="5"/>
      <c r="H100" s="79">
        <f t="shared" si="1"/>
        <v>-68.500000000000057</v>
      </c>
    </row>
    <row r="101" spans="2:9" ht="13.8">
      <c r="B101" s="95" t="s">
        <v>127</v>
      </c>
      <c r="C101" s="97" t="s">
        <v>202</v>
      </c>
      <c r="D101" s="1" t="s">
        <v>61</v>
      </c>
      <c r="E101" s="1" t="str">
        <f>IF(ISERROR(VLOOKUP(D101,Categorias!A:B,2,0)),"",VLOOKUP(D101,Categorias!A:B,2,0))</f>
        <v>RECEITA</v>
      </c>
      <c r="F101" s="81">
        <v>50</v>
      </c>
      <c r="G101" s="5"/>
      <c r="H101" s="79">
        <f t="shared" si="1"/>
        <v>-18.500000000000057</v>
      </c>
    </row>
    <row r="102" spans="2:9" ht="13.8">
      <c r="B102" s="95" t="s">
        <v>127</v>
      </c>
      <c r="C102" s="97" t="s">
        <v>203</v>
      </c>
      <c r="D102" s="1" t="s">
        <v>61</v>
      </c>
      <c r="E102" s="1" t="str">
        <f>IF(ISERROR(VLOOKUP(D102,Categorias!A:B,2,0)),"",VLOOKUP(D102,Categorias!A:B,2,0))</f>
        <v>RECEITA</v>
      </c>
      <c r="F102" s="81">
        <v>42</v>
      </c>
      <c r="G102" s="5"/>
      <c r="H102" s="79">
        <f t="shared" si="1"/>
        <v>23.499999999999943</v>
      </c>
    </row>
    <row r="103" spans="2:9" ht="13.8">
      <c r="B103" s="95" t="s">
        <v>127</v>
      </c>
      <c r="C103" s="97" t="s">
        <v>204</v>
      </c>
      <c r="D103" s="1" t="s">
        <v>61</v>
      </c>
      <c r="E103" s="1" t="str">
        <f>IF(ISERROR(VLOOKUP(D103,Categorias!A:B,2,0)),"",VLOOKUP(D103,Categorias!A:B,2,0))</f>
        <v>RECEITA</v>
      </c>
      <c r="F103" s="81">
        <v>50</v>
      </c>
      <c r="G103" s="5"/>
      <c r="H103" s="79">
        <f t="shared" si="1"/>
        <v>73.499999999999943</v>
      </c>
    </row>
    <row r="104" spans="2:9" ht="13.8">
      <c r="B104" s="95" t="s">
        <v>127</v>
      </c>
      <c r="C104" s="97" t="s">
        <v>205</v>
      </c>
      <c r="D104" s="1" t="s">
        <v>61</v>
      </c>
      <c r="E104" s="1" t="str">
        <f>IF(ISERROR(VLOOKUP(D104,Categorias!A:B,2,0)),"",VLOOKUP(D104,Categorias!A:B,2,0))</f>
        <v>RECEITA</v>
      </c>
      <c r="F104" s="81">
        <v>31</v>
      </c>
      <c r="G104" s="5"/>
      <c r="H104" s="79">
        <f t="shared" si="1"/>
        <v>104.49999999999994</v>
      </c>
    </row>
    <row r="105" spans="2:9" ht="13.8">
      <c r="B105" s="95" t="s">
        <v>127</v>
      </c>
      <c r="C105" s="97" t="s">
        <v>206</v>
      </c>
      <c r="D105" s="1" t="s">
        <v>61</v>
      </c>
      <c r="E105" s="1" t="str">
        <f>IF(ISERROR(VLOOKUP(D105,Categorias!A:B,2,0)),"",VLOOKUP(D105,Categorias!A:B,2,0))</f>
        <v>RECEITA</v>
      </c>
      <c r="F105" s="81">
        <v>25</v>
      </c>
      <c r="G105" s="5"/>
      <c r="H105" s="79">
        <f t="shared" si="1"/>
        <v>129.49999999999994</v>
      </c>
      <c r="I105" s="2"/>
    </row>
    <row r="106" spans="2:9" ht="13.8">
      <c r="B106" s="95" t="s">
        <v>127</v>
      </c>
      <c r="C106" s="97" t="s">
        <v>207</v>
      </c>
      <c r="D106" s="1" t="s">
        <v>61</v>
      </c>
      <c r="E106" s="1" t="str">
        <f>IF(ISERROR(VLOOKUP(D106,Categorias!A:B,2,0)),"",VLOOKUP(D106,Categorias!A:B,2,0))</f>
        <v>RECEITA</v>
      </c>
      <c r="F106" s="81">
        <v>25</v>
      </c>
      <c r="G106" s="5"/>
      <c r="H106" s="79">
        <f t="shared" si="1"/>
        <v>154.49999999999994</v>
      </c>
      <c r="I106" s="2"/>
    </row>
    <row r="107" spans="2:9" ht="13.8">
      <c r="B107" s="95" t="s">
        <v>128</v>
      </c>
      <c r="C107" s="97" t="s">
        <v>177</v>
      </c>
      <c r="D107" s="1" t="s">
        <v>8</v>
      </c>
      <c r="E107" s="1" t="str">
        <f>IF(ISERROR(VLOOKUP(D107,Categorias!A:B,2,0)),"",VLOOKUP(D107,Categorias!A:B,2,0))</f>
        <v>NÃO OPERACIONAL</v>
      </c>
      <c r="F107" s="81"/>
      <c r="G107" s="5">
        <v>50</v>
      </c>
      <c r="H107" s="79">
        <f t="shared" si="1"/>
        <v>104.49999999999994</v>
      </c>
      <c r="I107" s="2"/>
    </row>
    <row r="108" spans="2:9" ht="13.8">
      <c r="B108" s="95" t="s">
        <v>128</v>
      </c>
      <c r="C108" s="97" t="s">
        <v>208</v>
      </c>
      <c r="D108" s="1" t="s">
        <v>61</v>
      </c>
      <c r="E108" s="1" t="str">
        <f>IF(ISERROR(VLOOKUP(D108,Categorias!A:B,2,0)),"",VLOOKUP(D108,Categorias!A:B,2,0))</f>
        <v>RECEITA</v>
      </c>
      <c r="F108" s="81">
        <v>25</v>
      </c>
      <c r="G108" s="5"/>
      <c r="H108" s="79">
        <f t="shared" si="1"/>
        <v>129.49999999999994</v>
      </c>
    </row>
    <row r="109" spans="2:9" ht="13.8">
      <c r="B109" s="95" t="s">
        <v>128</v>
      </c>
      <c r="C109" s="97" t="s">
        <v>209</v>
      </c>
      <c r="D109" s="1" t="s">
        <v>61</v>
      </c>
      <c r="E109" s="1" t="str">
        <f>IF(ISERROR(VLOOKUP(D109,Categorias!A:B,2,0)),"",VLOOKUP(D109,Categorias!A:B,2,0))</f>
        <v>RECEITA</v>
      </c>
      <c r="F109" s="81">
        <v>25</v>
      </c>
      <c r="G109" s="5"/>
      <c r="H109" s="79">
        <f t="shared" si="1"/>
        <v>154.49999999999994</v>
      </c>
    </row>
    <row r="110" spans="2:9" ht="13.8">
      <c r="B110" s="95" t="s">
        <v>128</v>
      </c>
      <c r="C110" s="97" t="s">
        <v>174</v>
      </c>
      <c r="D110" s="1" t="s">
        <v>61</v>
      </c>
      <c r="E110" s="1" t="str">
        <f>IF(ISERROR(VLOOKUP(D110,Categorias!A:B,2,0)),"",VLOOKUP(D110,Categorias!A:B,2,0))</f>
        <v>RECEITA</v>
      </c>
      <c r="F110" s="81">
        <v>25</v>
      </c>
      <c r="G110" s="5"/>
      <c r="H110" s="79">
        <f t="shared" si="1"/>
        <v>179.49999999999994</v>
      </c>
    </row>
    <row r="111" spans="2:9" ht="13.8">
      <c r="B111" s="95" t="s">
        <v>128</v>
      </c>
      <c r="C111" s="97" t="s">
        <v>210</v>
      </c>
      <c r="D111" s="1" t="s">
        <v>61</v>
      </c>
      <c r="E111" s="1" t="str">
        <f>IF(ISERROR(VLOOKUP(D111,Categorias!A:B,2,0)),"",VLOOKUP(D111,Categorias!A:B,2,0))</f>
        <v>RECEITA</v>
      </c>
      <c r="F111" s="81">
        <v>31</v>
      </c>
      <c r="G111" s="5"/>
      <c r="H111" s="79">
        <f t="shared" si="1"/>
        <v>210.49999999999994</v>
      </c>
    </row>
    <row r="112" spans="2:9" ht="13.8">
      <c r="B112" s="95" t="s">
        <v>128</v>
      </c>
      <c r="C112" s="97" t="s">
        <v>211</v>
      </c>
      <c r="D112" s="1" t="s">
        <v>61</v>
      </c>
      <c r="E112" s="1" t="str">
        <f>IF(ISERROR(VLOOKUP(D112,Categorias!A:B,2,0)),"",VLOOKUP(D112,Categorias!A:B,2,0))</f>
        <v>RECEITA</v>
      </c>
      <c r="F112" s="81">
        <v>25</v>
      </c>
      <c r="G112" s="5"/>
      <c r="H112" s="79">
        <f t="shared" si="1"/>
        <v>235.49999999999994</v>
      </c>
    </row>
    <row r="113" spans="2:9" ht="13.8">
      <c r="B113" s="95" t="s">
        <v>128</v>
      </c>
      <c r="C113" s="97" t="s">
        <v>212</v>
      </c>
      <c r="D113" s="1" t="s">
        <v>61</v>
      </c>
      <c r="E113" s="1" t="str">
        <f>IF(ISERROR(VLOOKUP(D113,Categorias!A:B,2,0)),"",VLOOKUP(D113,Categorias!A:B,2,0))</f>
        <v>RECEITA</v>
      </c>
      <c r="F113" s="81">
        <v>99</v>
      </c>
      <c r="G113" s="5"/>
      <c r="H113" s="79">
        <f t="shared" si="1"/>
        <v>334.49999999999994</v>
      </c>
    </row>
    <row r="114" spans="2:9" ht="13.8">
      <c r="B114" s="95" t="s">
        <v>128</v>
      </c>
      <c r="C114" s="97" t="s">
        <v>165</v>
      </c>
      <c r="D114" s="1" t="s">
        <v>61</v>
      </c>
      <c r="E114" s="1" t="str">
        <f>IF(ISERROR(VLOOKUP(D114,Categorias!A:B,2,0)),"",VLOOKUP(D114,Categorias!A:B,2,0))</f>
        <v>RECEITA</v>
      </c>
      <c r="F114" s="81">
        <v>50</v>
      </c>
      <c r="G114" s="5"/>
      <c r="H114" s="79">
        <f t="shared" si="1"/>
        <v>384.49999999999994</v>
      </c>
      <c r="I114" s="2"/>
    </row>
    <row r="115" spans="2:9" ht="13.8">
      <c r="B115" s="95" t="s">
        <v>128</v>
      </c>
      <c r="C115" s="97" t="s">
        <v>213</v>
      </c>
      <c r="D115" s="1" t="s">
        <v>61</v>
      </c>
      <c r="E115" s="1" t="str">
        <f>IF(ISERROR(VLOOKUP(D115,Categorias!A:B,2,0)),"",VLOOKUP(D115,Categorias!A:B,2,0))</f>
        <v>RECEITA</v>
      </c>
      <c r="F115" s="81">
        <v>30</v>
      </c>
      <c r="G115" s="5"/>
      <c r="H115" s="79">
        <f t="shared" si="1"/>
        <v>414.49999999999994</v>
      </c>
      <c r="I115" s="2"/>
    </row>
    <row r="116" spans="2:9" ht="13.8">
      <c r="B116" s="95" t="s">
        <v>128</v>
      </c>
      <c r="C116" s="97" t="s">
        <v>214</v>
      </c>
      <c r="D116" s="1" t="s">
        <v>61</v>
      </c>
      <c r="E116" s="1" t="str">
        <f>IF(ISERROR(VLOOKUP(D116,Categorias!A:B,2,0)),"",VLOOKUP(D116,Categorias!A:B,2,0))</f>
        <v>RECEITA</v>
      </c>
      <c r="F116" s="81">
        <v>50</v>
      </c>
      <c r="G116" s="5"/>
      <c r="H116" s="79">
        <f t="shared" si="1"/>
        <v>464.49999999999994</v>
      </c>
      <c r="I116" s="2"/>
    </row>
    <row r="117" spans="2:9" ht="13.8">
      <c r="B117" s="95" t="s">
        <v>128</v>
      </c>
      <c r="C117" s="97" t="s">
        <v>215</v>
      </c>
      <c r="D117" s="1" t="s">
        <v>61</v>
      </c>
      <c r="E117" s="1" t="str">
        <f>IF(ISERROR(VLOOKUP(D117,Categorias!A:B,2,0)),"",VLOOKUP(D117,Categorias!A:B,2,0))</f>
        <v>RECEITA</v>
      </c>
      <c r="F117" s="81">
        <v>25</v>
      </c>
      <c r="G117" s="5"/>
      <c r="H117" s="79">
        <f t="shared" si="1"/>
        <v>489.49999999999994</v>
      </c>
    </row>
    <row r="118" spans="2:9" ht="13.8">
      <c r="B118" s="95" t="s">
        <v>129</v>
      </c>
      <c r="C118" s="97" t="s">
        <v>216</v>
      </c>
      <c r="D118" s="1" t="s">
        <v>62</v>
      </c>
      <c r="E118" s="1" t="str">
        <f>IF(ISERROR(VLOOKUP(D118,Categorias!A:B,2,0)),"",VLOOKUP(D118,Categorias!A:B,2,0))</f>
        <v>DESPESAS FIXAS</v>
      </c>
      <c r="F118" s="81"/>
      <c r="G118" s="5">
        <v>700</v>
      </c>
      <c r="H118" s="79">
        <f t="shared" si="1"/>
        <v>-210.50000000000006</v>
      </c>
    </row>
    <row r="119" spans="2:9" ht="13.8">
      <c r="B119" s="95" t="s">
        <v>129</v>
      </c>
      <c r="C119" s="97" t="s">
        <v>217</v>
      </c>
      <c r="D119" s="1" t="s">
        <v>61</v>
      </c>
      <c r="E119" s="1" t="str">
        <f>IF(ISERROR(VLOOKUP(D119,Categorias!A:B,2,0)),"",VLOOKUP(D119,Categorias!A:B,2,0))</f>
        <v>RECEITA</v>
      </c>
      <c r="F119" s="81">
        <v>35</v>
      </c>
      <c r="G119" s="5"/>
      <c r="H119" s="79">
        <f t="shared" si="1"/>
        <v>-175.50000000000006</v>
      </c>
    </row>
    <row r="120" spans="2:9" ht="13.8">
      <c r="B120" s="95" t="s">
        <v>129</v>
      </c>
      <c r="C120" s="97" t="s">
        <v>146</v>
      </c>
      <c r="D120" s="1" t="s">
        <v>61</v>
      </c>
      <c r="E120" s="1" t="str">
        <f>IF(ISERROR(VLOOKUP(D120,Categorias!A:B,2,0)),"",VLOOKUP(D120,Categorias!A:B,2,0))</f>
        <v>RECEITA</v>
      </c>
      <c r="F120" s="81">
        <v>25</v>
      </c>
      <c r="G120" s="5"/>
      <c r="H120" s="79">
        <f t="shared" si="1"/>
        <v>-150.50000000000006</v>
      </c>
    </row>
    <row r="121" spans="2:9" ht="13.8">
      <c r="B121" s="95" t="s">
        <v>129</v>
      </c>
      <c r="C121" s="97" t="s">
        <v>218</v>
      </c>
      <c r="D121" s="1" t="s">
        <v>61</v>
      </c>
      <c r="E121" s="1" t="str">
        <f>IF(ISERROR(VLOOKUP(D121,Categorias!A:B,2,0)),"",VLOOKUP(D121,Categorias!A:B,2,0))</f>
        <v>RECEITA</v>
      </c>
      <c r="F121" s="81">
        <v>50</v>
      </c>
      <c r="G121" s="5"/>
      <c r="H121" s="79">
        <f t="shared" si="1"/>
        <v>-100.50000000000006</v>
      </c>
    </row>
    <row r="122" spans="2:9" ht="13.8">
      <c r="B122" s="95" t="s">
        <v>129</v>
      </c>
      <c r="C122" s="97" t="s">
        <v>219</v>
      </c>
      <c r="D122" s="1" t="s">
        <v>61</v>
      </c>
      <c r="E122" s="1" t="str">
        <f>IF(ISERROR(VLOOKUP(D122,Categorias!A:B,2,0)),"",VLOOKUP(D122,Categorias!A:B,2,0))</f>
        <v>RECEITA</v>
      </c>
      <c r="F122" s="81">
        <v>25</v>
      </c>
      <c r="G122" s="5"/>
      <c r="H122" s="79">
        <f t="shared" si="1"/>
        <v>-75.500000000000057</v>
      </c>
      <c r="I122" s="2"/>
    </row>
    <row r="123" spans="2:9" ht="13.8">
      <c r="B123" s="95" t="s">
        <v>129</v>
      </c>
      <c r="C123" s="97" t="s">
        <v>201</v>
      </c>
      <c r="D123" s="1" t="s">
        <v>61</v>
      </c>
      <c r="E123" s="1" t="str">
        <f>IF(ISERROR(VLOOKUP(D123,Categorias!A:B,2,0)),"",VLOOKUP(D123,Categorias!A:B,2,0))</f>
        <v>RECEITA</v>
      </c>
      <c r="F123" s="81">
        <v>25</v>
      </c>
      <c r="G123" s="5"/>
      <c r="H123" s="79">
        <f t="shared" si="1"/>
        <v>-50.500000000000057</v>
      </c>
      <c r="I123" s="2"/>
    </row>
    <row r="124" spans="2:9" ht="13.8">
      <c r="B124" s="95" t="s">
        <v>129</v>
      </c>
      <c r="C124" s="83" t="s">
        <v>220</v>
      </c>
      <c r="D124" s="1" t="s">
        <v>61</v>
      </c>
      <c r="E124" s="1" t="str">
        <f>IF(ISERROR(VLOOKUP(D124,Categorias!A:B,2,0)),"",VLOOKUP(D124,Categorias!A:B,2,0))</f>
        <v>RECEITA</v>
      </c>
      <c r="F124" s="81">
        <v>45</v>
      </c>
      <c r="G124" s="5"/>
      <c r="H124" s="79">
        <f t="shared" si="1"/>
        <v>-5.5000000000000568</v>
      </c>
    </row>
    <row r="125" spans="2:9" ht="13.8">
      <c r="B125" s="95" t="s">
        <v>129</v>
      </c>
      <c r="C125" s="83" t="s">
        <v>221</v>
      </c>
      <c r="D125" s="1" t="s">
        <v>61</v>
      </c>
      <c r="E125" s="1" t="str">
        <f>IF(ISERROR(VLOOKUP(D125,Categorias!A:B,2,0)),"",VLOOKUP(D125,Categorias!A:B,2,0))</f>
        <v>RECEITA</v>
      </c>
      <c r="F125" s="81">
        <v>35</v>
      </c>
      <c r="G125" s="5"/>
      <c r="H125" s="79">
        <f t="shared" si="1"/>
        <v>29.499999999999943</v>
      </c>
    </row>
    <row r="126" spans="2:9" ht="13.8">
      <c r="B126" s="8" t="s">
        <v>129</v>
      </c>
      <c r="C126" s="83" t="s">
        <v>222</v>
      </c>
      <c r="D126" s="1" t="s">
        <v>61</v>
      </c>
      <c r="E126" s="1" t="str">
        <f>IF(ISERROR(VLOOKUP(D126,Categorias!A:B,2,0)),"",VLOOKUP(D126,Categorias!A:B,2,0))</f>
        <v>RECEITA</v>
      </c>
      <c r="F126" s="81">
        <v>25</v>
      </c>
      <c r="G126" s="5"/>
      <c r="H126" s="79">
        <f t="shared" si="1"/>
        <v>54.499999999999943</v>
      </c>
    </row>
    <row r="127" spans="2:9" ht="13.8">
      <c r="B127" s="8" t="s">
        <v>129</v>
      </c>
      <c r="C127" s="83" t="s">
        <v>223</v>
      </c>
      <c r="D127" s="1" t="s">
        <v>61</v>
      </c>
      <c r="E127" s="1" t="str">
        <f>IF(ISERROR(VLOOKUP(D127,Categorias!A:B,2,0)),"",VLOOKUP(D127,Categorias!A:B,2,0))</f>
        <v>RECEITA</v>
      </c>
      <c r="F127" s="81">
        <v>38</v>
      </c>
      <c r="G127" s="5"/>
      <c r="H127" s="79">
        <f t="shared" si="1"/>
        <v>92.499999999999943</v>
      </c>
    </row>
    <row r="128" spans="2:9" ht="13.8">
      <c r="B128" s="8" t="s">
        <v>130</v>
      </c>
      <c r="C128" s="83" t="s">
        <v>187</v>
      </c>
      <c r="D128" s="1" t="s">
        <v>61</v>
      </c>
      <c r="E128" s="1" t="str">
        <f>IF(ISERROR(VLOOKUP(D128,Categorias!A:B,2,0)),"",VLOOKUP(D128,Categorias!A:B,2,0))</f>
        <v>RECEITA</v>
      </c>
      <c r="F128" s="81">
        <v>24.51</v>
      </c>
      <c r="G128" s="5"/>
      <c r="H128" s="79">
        <f t="shared" si="1"/>
        <v>117.00999999999995</v>
      </c>
    </row>
    <row r="129" spans="2:8" ht="13.8">
      <c r="B129" s="8" t="s">
        <v>130</v>
      </c>
      <c r="C129" s="83" t="s">
        <v>188</v>
      </c>
      <c r="D129" s="1" t="s">
        <v>61</v>
      </c>
      <c r="E129" s="1" t="str">
        <f>IF(ISERROR(VLOOKUP(D129,Categorias!A:B,2,0)),"",VLOOKUP(D129,Categorias!A:B,2,0))</f>
        <v>RECEITA</v>
      </c>
      <c r="F129" s="81">
        <v>131.59</v>
      </c>
      <c r="G129" s="5"/>
      <c r="H129" s="79">
        <f t="shared" si="1"/>
        <v>248.59999999999997</v>
      </c>
    </row>
    <row r="130" spans="2:8" ht="13.8">
      <c r="B130" s="8" t="s">
        <v>131</v>
      </c>
      <c r="C130" s="83" t="s">
        <v>224</v>
      </c>
      <c r="D130" s="1" t="s">
        <v>61</v>
      </c>
      <c r="E130" s="1" t="str">
        <f>IF(ISERROR(VLOOKUP(D130,Categorias!A:B,2,0)),"",VLOOKUP(D130,Categorias!A:B,2,0))</f>
        <v>RECEITA</v>
      </c>
      <c r="F130" s="81">
        <v>25</v>
      </c>
      <c r="G130" s="5"/>
      <c r="H130" s="79">
        <f t="shared" si="1"/>
        <v>273.59999999999997</v>
      </c>
    </row>
    <row r="131" spans="2:8" ht="13.8">
      <c r="B131" s="8" t="s">
        <v>131</v>
      </c>
      <c r="C131" s="83" t="s">
        <v>165</v>
      </c>
      <c r="D131" s="1" t="s">
        <v>61</v>
      </c>
      <c r="E131" s="1" t="str">
        <f>IF(ISERROR(VLOOKUP(D131,Categorias!A:B,2,0)),"",VLOOKUP(D131,Categorias!A:B,2,0))</f>
        <v>RECEITA</v>
      </c>
      <c r="F131" s="81">
        <v>25</v>
      </c>
      <c r="G131" s="5"/>
      <c r="H131" s="79">
        <f t="shared" si="1"/>
        <v>298.59999999999997</v>
      </c>
    </row>
    <row r="132" spans="2:8" ht="13.8">
      <c r="B132" s="8" t="s">
        <v>131</v>
      </c>
      <c r="C132" s="83" t="s">
        <v>187</v>
      </c>
      <c r="D132" s="1" t="s">
        <v>61</v>
      </c>
      <c r="E132" s="1" t="str">
        <f>IF(ISERROR(VLOOKUP(D132,Categorias!A:B,2,0)),"",VLOOKUP(D132,Categorias!A:B,2,0))</f>
        <v>RECEITA</v>
      </c>
      <c r="F132" s="81">
        <v>49.01</v>
      </c>
      <c r="G132" s="5"/>
      <c r="H132" s="79">
        <f t="shared" si="1"/>
        <v>347.60999999999996</v>
      </c>
    </row>
    <row r="133" spans="2:8" ht="13.8">
      <c r="B133" s="8" t="s">
        <v>131</v>
      </c>
      <c r="C133" s="83" t="s">
        <v>187</v>
      </c>
      <c r="D133" s="1" t="s">
        <v>61</v>
      </c>
      <c r="E133" s="1" t="str">
        <f>IF(ISERROR(VLOOKUP(D133,Categorias!A:B,2,0)),"",VLOOKUP(D133,Categorias!A:B,2,0))</f>
        <v>RECEITA</v>
      </c>
      <c r="F133" s="81">
        <v>9.6999999999999993</v>
      </c>
      <c r="G133" s="5"/>
      <c r="H133" s="79">
        <f t="shared" si="1"/>
        <v>357.30999999999995</v>
      </c>
    </row>
    <row r="134" spans="2:8" ht="13.8">
      <c r="B134" s="8" t="s">
        <v>132</v>
      </c>
      <c r="C134" s="83" t="s">
        <v>157</v>
      </c>
      <c r="D134" s="1" t="s">
        <v>9</v>
      </c>
      <c r="E134" s="1" t="str">
        <f>IF(ISERROR(VLOOKUP(D134,Categorias!A:B,2,0)),"",VLOOKUP(D134,Categorias!A:B,2,0))</f>
        <v>GASTOS VARIÁVEIS</v>
      </c>
      <c r="F134" s="81"/>
      <c r="G134" s="5">
        <v>67</v>
      </c>
      <c r="H134" s="79">
        <f t="shared" si="1"/>
        <v>290.30999999999995</v>
      </c>
    </row>
    <row r="135" spans="2:8" ht="13.8">
      <c r="B135" s="8" t="s">
        <v>132</v>
      </c>
      <c r="C135" s="97" t="s">
        <v>315</v>
      </c>
      <c r="D135" s="1" t="s">
        <v>10</v>
      </c>
      <c r="E135" s="1" t="str">
        <f>IF(ISERROR(VLOOKUP(D135,Categorias!A:B,2,0)),"",VLOOKUP(D135,Categorias!A:B,2,0))</f>
        <v>INVESTIMENTOS</v>
      </c>
      <c r="F135" s="81"/>
      <c r="G135" s="5">
        <v>1000</v>
      </c>
      <c r="H135" s="79">
        <f t="shared" si="1"/>
        <v>-709.69</v>
      </c>
    </row>
    <row r="136" spans="2:8" ht="13.8">
      <c r="B136" s="8" t="s">
        <v>132</v>
      </c>
      <c r="C136" s="83" t="s">
        <v>210</v>
      </c>
      <c r="D136" s="1" t="s">
        <v>61</v>
      </c>
      <c r="E136" s="1" t="str">
        <f>IF(ISERROR(VLOOKUP(D136,Categorias!A:B,2,0)),"",VLOOKUP(D136,Categorias!A:B,2,0))</f>
        <v>RECEITA</v>
      </c>
      <c r="F136" s="81">
        <v>25</v>
      </c>
      <c r="G136" s="5"/>
      <c r="H136" s="79">
        <f t="shared" si="1"/>
        <v>-684.69</v>
      </c>
    </row>
    <row r="137" spans="2:8" ht="13.8">
      <c r="B137" s="8" t="s">
        <v>132</v>
      </c>
      <c r="C137" s="83" t="s">
        <v>225</v>
      </c>
      <c r="D137" s="1" t="s">
        <v>61</v>
      </c>
      <c r="E137" s="1" t="str">
        <f>IF(ISERROR(VLOOKUP(D137,Categorias!A:B,2,0)),"",VLOOKUP(D137,Categorias!A:B,2,0))</f>
        <v>RECEITA</v>
      </c>
      <c r="F137" s="81">
        <v>25</v>
      </c>
      <c r="G137" s="5"/>
      <c r="H137" s="79">
        <f t="shared" si="1"/>
        <v>-659.69</v>
      </c>
    </row>
    <row r="138" spans="2:8" ht="13.8">
      <c r="B138" s="8" t="s">
        <v>132</v>
      </c>
      <c r="C138" s="83" t="s">
        <v>226</v>
      </c>
      <c r="D138" s="1" t="s">
        <v>61</v>
      </c>
      <c r="E138" s="1" t="str">
        <f>IF(ISERROR(VLOOKUP(D138,Categorias!A:B,2,0)),"",VLOOKUP(D138,Categorias!A:B,2,0))</f>
        <v>RECEITA</v>
      </c>
      <c r="F138" s="81">
        <v>25</v>
      </c>
      <c r="G138" s="5"/>
      <c r="H138" s="79">
        <f t="shared" si="1"/>
        <v>-634.69000000000005</v>
      </c>
    </row>
    <row r="139" spans="2:8" ht="13.8">
      <c r="B139" s="8" t="s">
        <v>132</v>
      </c>
      <c r="C139" s="83" t="s">
        <v>227</v>
      </c>
      <c r="D139" s="1" t="s">
        <v>61</v>
      </c>
      <c r="E139" s="1" t="str">
        <f>IF(ISERROR(VLOOKUP(D139,Categorias!A:B,2,0)),"",VLOOKUP(D139,Categorias!A:B,2,0))</f>
        <v>RECEITA</v>
      </c>
      <c r="F139" s="81">
        <v>25</v>
      </c>
      <c r="G139" s="5"/>
      <c r="H139" s="79">
        <f t="shared" si="1"/>
        <v>-609.69000000000005</v>
      </c>
    </row>
    <row r="140" spans="2:8" ht="13.8">
      <c r="B140" s="8" t="s">
        <v>132</v>
      </c>
      <c r="C140" s="83" t="s">
        <v>228</v>
      </c>
      <c r="D140" s="1" t="s">
        <v>61</v>
      </c>
      <c r="E140" s="1" t="str">
        <f>IF(ISERROR(VLOOKUP(D140,Categorias!A:B,2,0)),"",VLOOKUP(D140,Categorias!A:B,2,0))</f>
        <v>RECEITA</v>
      </c>
      <c r="F140" s="81">
        <v>35</v>
      </c>
      <c r="G140" s="5"/>
      <c r="H140" s="79">
        <f t="shared" si="1"/>
        <v>-574.69000000000005</v>
      </c>
    </row>
    <row r="141" spans="2:8" ht="13.8">
      <c r="B141" s="8" t="s">
        <v>132</v>
      </c>
      <c r="C141" s="83" t="s">
        <v>187</v>
      </c>
      <c r="D141" s="1" t="s">
        <v>61</v>
      </c>
      <c r="E141" s="1" t="str">
        <f>IF(ISERROR(VLOOKUP(D141,Categorias!A:B,2,0)),"",VLOOKUP(D141,Categorias!A:B,2,0))</f>
        <v>RECEITA</v>
      </c>
      <c r="F141" s="81">
        <v>79.400000000000006</v>
      </c>
      <c r="G141" s="5"/>
      <c r="H141" s="79">
        <f t="shared" si="1"/>
        <v>-495.29000000000008</v>
      </c>
    </row>
    <row r="142" spans="2:8" ht="13.8">
      <c r="B142" s="8" t="s">
        <v>132</v>
      </c>
      <c r="C142" s="83" t="s">
        <v>177</v>
      </c>
      <c r="D142" s="1" t="s">
        <v>5</v>
      </c>
      <c r="E142" s="1" t="str">
        <f>IF(ISERROR(VLOOKUP(D142,Categorias!A:B,2,0)),"",VLOOKUP(D142,Categorias!A:B,2,0))</f>
        <v>DESPESAS FIXAS</v>
      </c>
      <c r="F142" s="81"/>
      <c r="G142" s="5">
        <v>30</v>
      </c>
      <c r="H142" s="79">
        <f t="shared" si="1"/>
        <v>-525.29000000000008</v>
      </c>
    </row>
    <row r="143" spans="2:8" ht="13.8">
      <c r="B143" s="8" t="s">
        <v>133</v>
      </c>
      <c r="C143" s="97" t="s">
        <v>316</v>
      </c>
      <c r="D143" s="1" t="s">
        <v>59</v>
      </c>
      <c r="E143" s="1" t="str">
        <f>IF(ISERROR(VLOOKUP(D143,Categorias!A:B,2,0)),"",VLOOKUP(D143,Categorias!A:B,2,0))</f>
        <v>DESPESAS FIXAS</v>
      </c>
      <c r="F143" s="81"/>
      <c r="G143" s="5">
        <v>115</v>
      </c>
      <c r="H143" s="79">
        <f t="shared" si="1"/>
        <v>-640.29000000000008</v>
      </c>
    </row>
    <row r="144" spans="2:8" ht="13.8">
      <c r="B144" s="8" t="s">
        <v>133</v>
      </c>
      <c r="C144" s="83" t="s">
        <v>157</v>
      </c>
      <c r="D144" s="1" t="s">
        <v>9</v>
      </c>
      <c r="E144" s="1" t="str">
        <f>IF(ISERROR(VLOOKUP(D144,Categorias!A:B,2,0)),"",VLOOKUP(D144,Categorias!A:B,2,0))</f>
        <v>GASTOS VARIÁVEIS</v>
      </c>
      <c r="F144" s="81"/>
      <c r="G144" s="5">
        <v>75</v>
      </c>
      <c r="H144" s="79">
        <f t="shared" si="1"/>
        <v>-715.29000000000008</v>
      </c>
    </row>
    <row r="145" spans="2:8" ht="13.8">
      <c r="B145" s="8" t="s">
        <v>133</v>
      </c>
      <c r="C145" s="83" t="s">
        <v>229</v>
      </c>
      <c r="D145" s="1" t="s">
        <v>61</v>
      </c>
      <c r="E145" s="1" t="str">
        <f>IF(ISERROR(VLOOKUP(D145,Categorias!A:B,2,0)),"",VLOOKUP(D145,Categorias!A:B,2,0))</f>
        <v>RECEITA</v>
      </c>
      <c r="F145" s="81">
        <v>10</v>
      </c>
      <c r="G145" s="5"/>
      <c r="H145" s="79">
        <f t="shared" si="1"/>
        <v>-705.29000000000008</v>
      </c>
    </row>
    <row r="146" spans="2:8" ht="13.8">
      <c r="B146" s="8" t="s">
        <v>133</v>
      </c>
      <c r="C146" s="83" t="s">
        <v>230</v>
      </c>
      <c r="D146" s="1" t="s">
        <v>61</v>
      </c>
      <c r="E146" s="1" t="str">
        <f>IF(ISERROR(VLOOKUP(D146,Categorias!A:B,2,0)),"",VLOOKUP(D146,Categorias!A:B,2,0))</f>
        <v>RECEITA</v>
      </c>
      <c r="F146" s="81">
        <v>25</v>
      </c>
      <c r="G146" s="5"/>
      <c r="H146" s="79">
        <f t="shared" si="1"/>
        <v>-680.29000000000008</v>
      </c>
    </row>
    <row r="147" spans="2:8" ht="13.8">
      <c r="B147" s="8" t="s">
        <v>133</v>
      </c>
      <c r="C147" s="83" t="s">
        <v>231</v>
      </c>
      <c r="D147" s="1" t="s">
        <v>61</v>
      </c>
      <c r="E147" s="1" t="str">
        <f>IF(ISERROR(VLOOKUP(D147,Categorias!A:B,2,0)),"",VLOOKUP(D147,Categorias!A:B,2,0))</f>
        <v>RECEITA</v>
      </c>
      <c r="F147" s="81">
        <v>6</v>
      </c>
      <c r="G147" s="5"/>
      <c r="H147" s="79">
        <f t="shared" si="1"/>
        <v>-674.29000000000008</v>
      </c>
    </row>
    <row r="148" spans="2:8" ht="13.8">
      <c r="B148" s="8" t="s">
        <v>133</v>
      </c>
      <c r="C148" s="83" t="s">
        <v>232</v>
      </c>
      <c r="D148" s="1" t="s">
        <v>61</v>
      </c>
      <c r="E148" s="1" t="str">
        <f>IF(ISERROR(VLOOKUP(D148,Categorias!A:B,2,0)),"",VLOOKUP(D148,Categorias!A:B,2,0))</f>
        <v>RECEITA</v>
      </c>
      <c r="F148" s="81">
        <v>25</v>
      </c>
      <c r="G148" s="5"/>
      <c r="H148" s="79">
        <f t="shared" ref="H148:H211" si="2">H147+F148-G148</f>
        <v>-649.29000000000008</v>
      </c>
    </row>
    <row r="149" spans="2:8" ht="13.8">
      <c r="B149" s="8" t="s">
        <v>133</v>
      </c>
      <c r="C149" s="83" t="s">
        <v>233</v>
      </c>
      <c r="D149" s="1" t="s">
        <v>61</v>
      </c>
      <c r="E149" s="1" t="str">
        <f>IF(ISERROR(VLOOKUP(D149,Categorias!A:B,2,0)),"",VLOOKUP(D149,Categorias!A:B,2,0))</f>
        <v>RECEITA</v>
      </c>
      <c r="F149" s="81">
        <v>25</v>
      </c>
      <c r="G149" s="5"/>
      <c r="H149" s="79">
        <f t="shared" si="2"/>
        <v>-624.29000000000008</v>
      </c>
    </row>
    <row r="150" spans="2:8" ht="13.8">
      <c r="B150" s="8" t="s">
        <v>133</v>
      </c>
      <c r="C150" s="83" t="s">
        <v>234</v>
      </c>
      <c r="D150" s="1" t="s">
        <v>61</v>
      </c>
      <c r="E150" s="1" t="str">
        <f>IF(ISERROR(VLOOKUP(D150,Categorias!A:B,2,0)),"",VLOOKUP(D150,Categorias!A:B,2,0))</f>
        <v>RECEITA</v>
      </c>
      <c r="F150" s="81">
        <v>25</v>
      </c>
      <c r="G150" s="5"/>
      <c r="H150" s="79">
        <f t="shared" si="2"/>
        <v>-599.29000000000008</v>
      </c>
    </row>
    <row r="151" spans="2:8" ht="13.8">
      <c r="B151" s="8" t="s">
        <v>133</v>
      </c>
      <c r="C151" s="83" t="s">
        <v>235</v>
      </c>
      <c r="D151" s="1" t="s">
        <v>61</v>
      </c>
      <c r="E151" s="1" t="str">
        <f>IF(ISERROR(VLOOKUP(D151,Categorias!A:B,2,0)),"",VLOOKUP(D151,Categorias!A:B,2,0))</f>
        <v>RECEITA</v>
      </c>
      <c r="F151" s="81">
        <v>25</v>
      </c>
      <c r="G151" s="5"/>
      <c r="H151" s="79">
        <f t="shared" si="2"/>
        <v>-574.29000000000008</v>
      </c>
    </row>
    <row r="152" spans="2:8" ht="13.8">
      <c r="B152" s="8" t="s">
        <v>133</v>
      </c>
      <c r="C152" s="83" t="s">
        <v>157</v>
      </c>
      <c r="D152" s="1" t="s">
        <v>61</v>
      </c>
      <c r="E152" s="1" t="str">
        <f>IF(ISERROR(VLOOKUP(D152,Categorias!A:B,2,0)),"",VLOOKUP(D152,Categorias!A:B,2,0))</f>
        <v>RECEITA</v>
      </c>
      <c r="F152" s="81">
        <v>25</v>
      </c>
      <c r="G152" s="5"/>
      <c r="H152" s="79">
        <f t="shared" si="2"/>
        <v>-549.29000000000008</v>
      </c>
    </row>
    <row r="153" spans="2:8" ht="13.8">
      <c r="B153" s="8" t="s">
        <v>133</v>
      </c>
      <c r="C153" s="83" t="s">
        <v>236</v>
      </c>
      <c r="D153" s="1" t="s">
        <v>61</v>
      </c>
      <c r="E153" s="1" t="str">
        <f>IF(ISERROR(VLOOKUP(D153,Categorias!A:B,2,0)),"",VLOOKUP(D153,Categorias!A:B,2,0))</f>
        <v>RECEITA</v>
      </c>
      <c r="F153" s="81">
        <v>25</v>
      </c>
      <c r="G153" s="5"/>
      <c r="H153" s="79">
        <f t="shared" si="2"/>
        <v>-524.29000000000008</v>
      </c>
    </row>
    <row r="154" spans="2:8" ht="13.8">
      <c r="B154" s="8" t="s">
        <v>133</v>
      </c>
      <c r="C154" s="83" t="s">
        <v>187</v>
      </c>
      <c r="D154" s="1" t="s">
        <v>61</v>
      </c>
      <c r="E154" s="1" t="str">
        <f>IF(ISERROR(VLOOKUP(D154,Categorias!A:B,2,0)),"",VLOOKUP(D154,Categorias!A:B,2,0))</f>
        <v>RECEITA</v>
      </c>
      <c r="F154" s="81">
        <v>103.91</v>
      </c>
      <c r="G154" s="5"/>
      <c r="H154" s="79">
        <f t="shared" si="2"/>
        <v>-420.38000000000011</v>
      </c>
    </row>
    <row r="155" spans="2:8" ht="13.8">
      <c r="B155" s="8" t="s">
        <v>133</v>
      </c>
      <c r="C155" s="83" t="s">
        <v>187</v>
      </c>
      <c r="D155" s="1" t="s">
        <v>61</v>
      </c>
      <c r="E155" s="1" t="str">
        <f>IF(ISERROR(VLOOKUP(D155,Categorias!A:B,2,0)),"",VLOOKUP(D155,Categorias!A:B,2,0))</f>
        <v>RECEITA</v>
      </c>
      <c r="F155" s="81">
        <v>205.84</v>
      </c>
      <c r="G155" s="5"/>
      <c r="H155" s="79">
        <f t="shared" si="2"/>
        <v>-214.54000000000011</v>
      </c>
    </row>
    <row r="156" spans="2:8" ht="13.8">
      <c r="B156" s="8" t="s">
        <v>133</v>
      </c>
      <c r="C156" s="83" t="s">
        <v>188</v>
      </c>
      <c r="D156" s="1" t="s">
        <v>61</v>
      </c>
      <c r="E156" s="1" t="str">
        <f>IF(ISERROR(VLOOKUP(D156,Categorias!A:B,2,0)),"",VLOOKUP(D156,Categorias!A:B,2,0))</f>
        <v>RECEITA</v>
      </c>
      <c r="F156" s="81">
        <v>247.05</v>
      </c>
      <c r="G156" s="5"/>
      <c r="H156" s="79">
        <f t="shared" si="2"/>
        <v>32.509999999999906</v>
      </c>
    </row>
    <row r="157" spans="2:8" ht="13.8">
      <c r="B157" s="8" t="s">
        <v>134</v>
      </c>
      <c r="C157" s="83" t="s">
        <v>143</v>
      </c>
      <c r="D157" s="1" t="s">
        <v>2</v>
      </c>
      <c r="E157" s="1" t="str">
        <f>IF(ISERROR(VLOOKUP(D157,Categorias!A:B,2,0)),"",VLOOKUP(D157,Categorias!A:B,2,0))</f>
        <v>GASTOS VARIÁVEIS</v>
      </c>
      <c r="F157" s="81"/>
      <c r="G157" s="5">
        <v>672</v>
      </c>
      <c r="H157" s="79">
        <f t="shared" si="2"/>
        <v>-639.49000000000012</v>
      </c>
    </row>
    <row r="158" spans="2:8" ht="13.8">
      <c r="B158" s="8" t="s">
        <v>134</v>
      </c>
      <c r="C158" s="83" t="s">
        <v>157</v>
      </c>
      <c r="D158" s="1" t="s">
        <v>9</v>
      </c>
      <c r="E158" s="1" t="str">
        <f>IF(ISERROR(VLOOKUP(D158,Categorias!A:B,2,0)),"",VLOOKUP(D158,Categorias!A:B,2,0))</f>
        <v>GASTOS VARIÁVEIS</v>
      </c>
      <c r="F158" s="81"/>
      <c r="G158" s="5">
        <v>79</v>
      </c>
      <c r="H158" s="79">
        <f t="shared" si="2"/>
        <v>-718.49000000000012</v>
      </c>
    </row>
    <row r="159" spans="2:8" ht="13.8">
      <c r="B159" s="8" t="s">
        <v>134</v>
      </c>
      <c r="C159" s="83" t="s">
        <v>157</v>
      </c>
      <c r="D159" s="1" t="s">
        <v>61</v>
      </c>
      <c r="E159" s="1" t="str">
        <f>IF(ISERROR(VLOOKUP(D159,Categorias!A:B,2,0)),"",VLOOKUP(D159,Categorias!A:B,2,0))</f>
        <v>RECEITA</v>
      </c>
      <c r="F159" s="81">
        <v>75</v>
      </c>
      <c r="G159" s="5"/>
      <c r="H159" s="79">
        <f t="shared" si="2"/>
        <v>-643.49000000000012</v>
      </c>
    </row>
    <row r="160" spans="2:8" ht="13.8">
      <c r="B160" s="8" t="s">
        <v>134</v>
      </c>
      <c r="C160" s="83" t="s">
        <v>237</v>
      </c>
      <c r="D160" s="1" t="s">
        <v>61</v>
      </c>
      <c r="E160" s="1" t="str">
        <f>IF(ISERROR(VLOOKUP(D160,Categorias!A:B,2,0)),"",VLOOKUP(D160,Categorias!A:B,2,0))</f>
        <v>RECEITA</v>
      </c>
      <c r="F160" s="81">
        <v>10</v>
      </c>
      <c r="G160" s="5"/>
      <c r="H160" s="79">
        <f t="shared" si="2"/>
        <v>-633.49000000000012</v>
      </c>
    </row>
    <row r="161" spans="2:8" ht="13.8">
      <c r="B161" s="8" t="s">
        <v>134</v>
      </c>
      <c r="C161" s="83" t="s">
        <v>238</v>
      </c>
      <c r="D161" s="1" t="s">
        <v>61</v>
      </c>
      <c r="E161" s="1" t="str">
        <f>IF(ISERROR(VLOOKUP(D161,Categorias!A:B,2,0)),"",VLOOKUP(D161,Categorias!A:B,2,0))</f>
        <v>RECEITA</v>
      </c>
      <c r="F161" s="81">
        <v>40</v>
      </c>
      <c r="G161" s="5"/>
      <c r="H161" s="79">
        <f t="shared" si="2"/>
        <v>-593.49000000000012</v>
      </c>
    </row>
    <row r="162" spans="2:8" ht="13.8">
      <c r="B162" s="8" t="s">
        <v>134</v>
      </c>
      <c r="C162" s="83" t="s">
        <v>239</v>
      </c>
      <c r="D162" s="1" t="s">
        <v>61</v>
      </c>
      <c r="E162" s="1" t="str">
        <f>IF(ISERROR(VLOOKUP(D162,Categorias!A:B,2,0)),"",VLOOKUP(D162,Categorias!A:B,2,0))</f>
        <v>RECEITA</v>
      </c>
      <c r="F162" s="81">
        <v>25</v>
      </c>
      <c r="G162" s="5"/>
      <c r="H162" s="79">
        <f t="shared" si="2"/>
        <v>-568.49000000000012</v>
      </c>
    </row>
    <row r="163" spans="2:8" ht="13.8">
      <c r="B163" s="8" t="s">
        <v>134</v>
      </c>
      <c r="C163" s="83" t="s">
        <v>240</v>
      </c>
      <c r="D163" s="1" t="s">
        <v>61</v>
      </c>
      <c r="E163" s="1" t="str">
        <f>IF(ISERROR(VLOOKUP(D163,Categorias!A:B,2,0)),"",VLOOKUP(D163,Categorias!A:B,2,0))</f>
        <v>RECEITA</v>
      </c>
      <c r="F163" s="81">
        <v>25</v>
      </c>
      <c r="G163" s="5"/>
      <c r="H163" s="79">
        <f t="shared" si="2"/>
        <v>-543.49000000000012</v>
      </c>
    </row>
    <row r="164" spans="2:8" ht="13.8">
      <c r="B164" s="8" t="s">
        <v>134</v>
      </c>
      <c r="C164" s="83" t="s">
        <v>241</v>
      </c>
      <c r="D164" s="1" t="s">
        <v>61</v>
      </c>
      <c r="E164" s="1" t="str">
        <f>IF(ISERROR(VLOOKUP(D164,Categorias!A:B,2,0)),"",VLOOKUP(D164,Categorias!A:B,2,0))</f>
        <v>RECEITA</v>
      </c>
      <c r="F164" s="81">
        <v>25</v>
      </c>
      <c r="G164" s="5"/>
      <c r="H164" s="79">
        <f t="shared" si="2"/>
        <v>-518.49000000000012</v>
      </c>
    </row>
    <row r="165" spans="2:8" ht="13.8">
      <c r="B165" s="8" t="s">
        <v>134</v>
      </c>
      <c r="C165" s="83" t="s">
        <v>242</v>
      </c>
      <c r="D165" s="1" t="s">
        <v>61</v>
      </c>
      <c r="E165" s="1" t="str">
        <f>IF(ISERROR(VLOOKUP(D165,Categorias!A:B,2,0)),"",VLOOKUP(D165,Categorias!A:B,2,0))</f>
        <v>RECEITA</v>
      </c>
      <c r="F165" s="81">
        <v>6</v>
      </c>
      <c r="G165" s="5"/>
      <c r="H165" s="79">
        <f t="shared" si="2"/>
        <v>-512.49000000000012</v>
      </c>
    </row>
    <row r="166" spans="2:8" ht="13.8">
      <c r="B166" s="8" t="s">
        <v>134</v>
      </c>
      <c r="C166" s="83" t="s">
        <v>243</v>
      </c>
      <c r="D166" s="1" t="s">
        <v>61</v>
      </c>
      <c r="E166" s="1" t="str">
        <f>IF(ISERROR(VLOOKUP(D166,Categorias!A:B,2,0)),"",VLOOKUP(D166,Categorias!A:B,2,0))</f>
        <v>RECEITA</v>
      </c>
      <c r="F166" s="81">
        <v>50</v>
      </c>
      <c r="G166" s="5"/>
      <c r="H166" s="79">
        <f t="shared" si="2"/>
        <v>-462.49000000000012</v>
      </c>
    </row>
    <row r="167" spans="2:8" ht="13.8">
      <c r="B167" s="8" t="s">
        <v>134</v>
      </c>
      <c r="C167" s="83" t="s">
        <v>244</v>
      </c>
      <c r="D167" s="1" t="s">
        <v>61</v>
      </c>
      <c r="E167" s="1" t="str">
        <f>IF(ISERROR(VLOOKUP(D167,Categorias!A:B,2,0)),"",VLOOKUP(D167,Categorias!A:B,2,0))</f>
        <v>RECEITA</v>
      </c>
      <c r="F167" s="81">
        <v>6</v>
      </c>
      <c r="G167" s="5"/>
      <c r="H167" s="79">
        <f t="shared" si="2"/>
        <v>-456.49000000000012</v>
      </c>
    </row>
    <row r="168" spans="2:8" ht="13.8">
      <c r="B168" s="8" t="s">
        <v>134</v>
      </c>
      <c r="C168" s="83" t="s">
        <v>190</v>
      </c>
      <c r="D168" s="1" t="s">
        <v>61</v>
      </c>
      <c r="E168" s="1" t="str">
        <f>IF(ISERROR(VLOOKUP(D168,Categorias!A:B,2,0)),"",VLOOKUP(D168,Categorias!A:B,2,0))</f>
        <v>RECEITA</v>
      </c>
      <c r="F168" s="81">
        <v>50</v>
      </c>
      <c r="G168" s="5"/>
      <c r="H168" s="79">
        <f t="shared" si="2"/>
        <v>-406.49000000000012</v>
      </c>
    </row>
    <row r="169" spans="2:8" ht="13.8">
      <c r="B169" s="8" t="s">
        <v>134</v>
      </c>
      <c r="C169" s="83" t="s">
        <v>242</v>
      </c>
      <c r="D169" s="1" t="s">
        <v>61</v>
      </c>
      <c r="E169" s="1" t="str">
        <f>IF(ISERROR(VLOOKUP(D169,Categorias!A:B,2,0)),"",VLOOKUP(D169,Categorias!A:B,2,0))</f>
        <v>RECEITA</v>
      </c>
      <c r="F169" s="81">
        <v>25</v>
      </c>
      <c r="G169" s="5"/>
      <c r="H169" s="79">
        <f t="shared" si="2"/>
        <v>-381.49000000000012</v>
      </c>
    </row>
    <row r="170" spans="2:8" ht="13.8">
      <c r="B170" s="8" t="s">
        <v>134</v>
      </c>
      <c r="C170" s="83" t="s">
        <v>210</v>
      </c>
      <c r="D170" s="1" t="s">
        <v>61</v>
      </c>
      <c r="E170" s="1" t="str">
        <f>IF(ISERROR(VLOOKUP(D170,Categorias!A:B,2,0)),"",VLOOKUP(D170,Categorias!A:B,2,0))</f>
        <v>RECEITA</v>
      </c>
      <c r="F170" s="81">
        <v>33</v>
      </c>
      <c r="G170" s="5"/>
      <c r="H170" s="79">
        <f t="shared" si="2"/>
        <v>-348.49000000000012</v>
      </c>
    </row>
    <row r="171" spans="2:8" ht="13.8">
      <c r="B171" s="8" t="s">
        <v>134</v>
      </c>
      <c r="C171" s="83" t="s">
        <v>245</v>
      </c>
      <c r="D171" s="1" t="s">
        <v>61</v>
      </c>
      <c r="E171" s="1" t="str">
        <f>IF(ISERROR(VLOOKUP(D171,Categorias!A:B,2,0)),"",VLOOKUP(D171,Categorias!A:B,2,0))</f>
        <v>RECEITA</v>
      </c>
      <c r="F171" s="81">
        <v>25</v>
      </c>
      <c r="G171" s="5"/>
      <c r="H171" s="79">
        <f t="shared" si="2"/>
        <v>-323.49000000000012</v>
      </c>
    </row>
    <row r="172" spans="2:8" ht="13.8">
      <c r="B172" s="8" t="s">
        <v>134</v>
      </c>
      <c r="C172" s="83" t="s">
        <v>246</v>
      </c>
      <c r="D172" s="1" t="s">
        <v>61</v>
      </c>
      <c r="E172" s="1" t="str">
        <f>IF(ISERROR(VLOOKUP(D172,Categorias!A:B,2,0)),"",VLOOKUP(D172,Categorias!A:B,2,0))</f>
        <v>RECEITA</v>
      </c>
      <c r="F172" s="81">
        <v>50</v>
      </c>
      <c r="G172" s="5"/>
      <c r="H172" s="79">
        <f t="shared" si="2"/>
        <v>-273.49000000000012</v>
      </c>
    </row>
    <row r="173" spans="2:8" ht="13.8">
      <c r="B173" s="8" t="s">
        <v>134</v>
      </c>
      <c r="C173" s="83" t="s">
        <v>247</v>
      </c>
      <c r="D173" s="1" t="s">
        <v>61</v>
      </c>
      <c r="E173" s="1" t="str">
        <f>IF(ISERROR(VLOOKUP(D173,Categorias!A:B,2,0)),"",VLOOKUP(D173,Categorias!A:B,2,0))</f>
        <v>RECEITA</v>
      </c>
      <c r="F173" s="81">
        <v>25</v>
      </c>
      <c r="G173" s="5"/>
      <c r="H173" s="79">
        <f t="shared" si="2"/>
        <v>-248.49000000000012</v>
      </c>
    </row>
    <row r="174" spans="2:8" ht="13.8">
      <c r="B174" s="8" t="s">
        <v>134</v>
      </c>
      <c r="C174" s="83" t="s">
        <v>248</v>
      </c>
      <c r="D174" s="1" t="s">
        <v>61</v>
      </c>
      <c r="E174" s="1" t="str">
        <f>IF(ISERROR(VLOOKUP(D174,Categorias!A:B,2,0)),"",VLOOKUP(D174,Categorias!A:B,2,0))</f>
        <v>RECEITA</v>
      </c>
      <c r="F174" s="81">
        <v>50</v>
      </c>
      <c r="G174" s="5"/>
      <c r="H174" s="79">
        <f t="shared" si="2"/>
        <v>-198.49000000000012</v>
      </c>
    </row>
    <row r="175" spans="2:8" ht="13.8">
      <c r="B175" s="8" t="s">
        <v>134</v>
      </c>
      <c r="C175" s="83" t="s">
        <v>249</v>
      </c>
      <c r="D175" s="1" t="s">
        <v>61</v>
      </c>
      <c r="E175" s="1" t="str">
        <f>IF(ISERROR(VLOOKUP(D175,Categorias!A:B,2,0)),"",VLOOKUP(D175,Categorias!A:B,2,0))</f>
        <v>RECEITA</v>
      </c>
      <c r="F175" s="81">
        <v>36</v>
      </c>
      <c r="G175" s="5"/>
      <c r="H175" s="79">
        <f t="shared" si="2"/>
        <v>-162.49000000000012</v>
      </c>
    </row>
    <row r="176" spans="2:8" ht="13.8">
      <c r="B176" s="8" t="s">
        <v>134</v>
      </c>
      <c r="C176" s="83" t="s">
        <v>250</v>
      </c>
      <c r="D176" s="1" t="s">
        <v>61</v>
      </c>
      <c r="E176" s="1" t="str">
        <f>IF(ISERROR(VLOOKUP(D176,Categorias!A:B,2,0)),"",VLOOKUP(D176,Categorias!A:B,2,0))</f>
        <v>RECEITA</v>
      </c>
      <c r="F176" s="81">
        <v>25</v>
      </c>
      <c r="G176" s="5"/>
      <c r="H176" s="79">
        <f t="shared" si="2"/>
        <v>-137.49000000000012</v>
      </c>
    </row>
    <row r="177" spans="2:8" ht="13.8">
      <c r="B177" s="8" t="s">
        <v>134</v>
      </c>
      <c r="C177" s="83" t="s">
        <v>251</v>
      </c>
      <c r="D177" s="1" t="s">
        <v>61</v>
      </c>
      <c r="E177" s="1" t="str">
        <f>IF(ISERROR(VLOOKUP(D177,Categorias!A:B,2,0)),"",VLOOKUP(D177,Categorias!A:B,2,0))</f>
        <v>RECEITA</v>
      </c>
      <c r="F177" s="81">
        <v>7</v>
      </c>
      <c r="G177" s="5"/>
      <c r="H177" s="79">
        <f t="shared" si="2"/>
        <v>-130.49000000000012</v>
      </c>
    </row>
    <row r="178" spans="2:8" ht="13.8">
      <c r="B178" s="8" t="s">
        <v>134</v>
      </c>
      <c r="C178" s="83" t="s">
        <v>251</v>
      </c>
      <c r="D178" s="1" t="s">
        <v>61</v>
      </c>
      <c r="E178" s="1" t="str">
        <f>IF(ISERROR(VLOOKUP(D178,Categorias!A:B,2,0)),"",VLOOKUP(D178,Categorias!A:B,2,0))</f>
        <v>RECEITA</v>
      </c>
      <c r="F178" s="81">
        <v>25</v>
      </c>
      <c r="G178" s="5"/>
      <c r="H178" s="79">
        <f t="shared" si="2"/>
        <v>-105.49000000000012</v>
      </c>
    </row>
    <row r="179" spans="2:8" ht="13.8">
      <c r="B179" s="8" t="s">
        <v>134</v>
      </c>
      <c r="C179" s="83" t="s">
        <v>252</v>
      </c>
      <c r="D179" s="1" t="s">
        <v>61</v>
      </c>
      <c r="E179" s="1" t="str">
        <f>IF(ISERROR(VLOOKUP(D179,Categorias!A:B,2,0)),"",VLOOKUP(D179,Categorias!A:B,2,0))</f>
        <v>RECEITA</v>
      </c>
      <c r="F179" s="81">
        <v>25</v>
      </c>
      <c r="G179" s="5"/>
      <c r="H179" s="79">
        <f t="shared" si="2"/>
        <v>-80.490000000000123</v>
      </c>
    </row>
    <row r="180" spans="2:8" ht="13.8">
      <c r="B180" s="8" t="s">
        <v>134</v>
      </c>
      <c r="C180" s="83" t="s">
        <v>253</v>
      </c>
      <c r="D180" s="1" t="s">
        <v>61</v>
      </c>
      <c r="E180" s="1" t="str">
        <f>IF(ISERROR(VLOOKUP(D180,Categorias!A:B,2,0)),"",VLOOKUP(D180,Categorias!A:B,2,0))</f>
        <v>RECEITA</v>
      </c>
      <c r="F180" s="81">
        <v>25</v>
      </c>
      <c r="G180" s="5"/>
      <c r="H180" s="79">
        <f t="shared" si="2"/>
        <v>-55.490000000000123</v>
      </c>
    </row>
    <row r="181" spans="2:8" ht="13.8">
      <c r="B181" s="8" t="s">
        <v>134</v>
      </c>
      <c r="C181" s="83" t="s">
        <v>254</v>
      </c>
      <c r="D181" s="1" t="s">
        <v>61</v>
      </c>
      <c r="E181" s="1" t="str">
        <f>IF(ISERROR(VLOOKUP(D181,Categorias!A:B,2,0)),"",VLOOKUP(D181,Categorias!A:B,2,0))</f>
        <v>RECEITA</v>
      </c>
      <c r="F181" s="81">
        <v>25</v>
      </c>
      <c r="G181" s="5"/>
      <c r="H181" s="79">
        <f t="shared" si="2"/>
        <v>-30.490000000000123</v>
      </c>
    </row>
    <row r="182" spans="2:8" ht="13.8">
      <c r="B182" s="8" t="s">
        <v>134</v>
      </c>
      <c r="C182" s="83" t="s">
        <v>255</v>
      </c>
      <c r="D182" s="1" t="s">
        <v>61</v>
      </c>
      <c r="E182" s="1" t="str">
        <f>IF(ISERROR(VLOOKUP(D182,Categorias!A:B,2,0)),"",VLOOKUP(D182,Categorias!A:B,2,0))</f>
        <v>RECEITA</v>
      </c>
      <c r="F182" s="81">
        <v>25</v>
      </c>
      <c r="G182" s="5"/>
      <c r="H182" s="79">
        <f t="shared" si="2"/>
        <v>-5.4900000000001228</v>
      </c>
    </row>
    <row r="183" spans="2:8" ht="13.8">
      <c r="B183" s="8" t="s">
        <v>134</v>
      </c>
      <c r="C183" s="83" t="s">
        <v>256</v>
      </c>
      <c r="D183" s="1" t="s">
        <v>61</v>
      </c>
      <c r="E183" s="1" t="str">
        <f>IF(ISERROR(VLOOKUP(D183,Categorias!A:B,2,0)),"",VLOOKUP(D183,Categorias!A:B,2,0))</f>
        <v>RECEITA</v>
      </c>
      <c r="F183" s="81">
        <v>25</v>
      </c>
      <c r="G183" s="5"/>
      <c r="H183" s="79">
        <f t="shared" si="2"/>
        <v>19.509999999999877</v>
      </c>
    </row>
    <row r="184" spans="2:8" ht="13.8">
      <c r="B184" s="8" t="s">
        <v>135</v>
      </c>
      <c r="C184" s="83" t="s">
        <v>177</v>
      </c>
      <c r="D184" s="1" t="s">
        <v>5</v>
      </c>
      <c r="E184" s="1" t="str">
        <f>IF(ISERROR(VLOOKUP(D184,Categorias!A:B,2,0)),"",VLOOKUP(D184,Categorias!A:B,2,0))</f>
        <v>DESPESAS FIXAS</v>
      </c>
      <c r="F184" s="81"/>
      <c r="G184" s="5">
        <v>40</v>
      </c>
      <c r="H184" s="79">
        <f t="shared" si="2"/>
        <v>-20.490000000000123</v>
      </c>
    </row>
    <row r="185" spans="2:8" ht="13.8">
      <c r="B185" s="8" t="s">
        <v>135</v>
      </c>
      <c r="C185" s="83" t="s">
        <v>257</v>
      </c>
      <c r="D185" s="1" t="s">
        <v>61</v>
      </c>
      <c r="E185" s="1" t="str">
        <f>IF(ISERROR(VLOOKUP(D185,Categorias!A:B,2,0)),"",VLOOKUP(D185,Categorias!A:B,2,0))</f>
        <v>RECEITA</v>
      </c>
      <c r="F185" s="81">
        <v>75</v>
      </c>
      <c r="G185" s="5"/>
      <c r="H185" s="79">
        <f t="shared" si="2"/>
        <v>54.509999999999877</v>
      </c>
    </row>
    <row r="186" spans="2:8" ht="13.8">
      <c r="B186" s="8" t="s">
        <v>135</v>
      </c>
      <c r="C186" s="83" t="s">
        <v>157</v>
      </c>
      <c r="D186" s="1" t="s">
        <v>9</v>
      </c>
      <c r="E186" s="1" t="str">
        <f>IF(ISERROR(VLOOKUP(D186,Categorias!A:B,2,0)),"",VLOOKUP(D186,Categorias!A:B,2,0))</f>
        <v>GASTOS VARIÁVEIS</v>
      </c>
      <c r="F186" s="81"/>
      <c r="G186" s="5">
        <v>139</v>
      </c>
      <c r="H186" s="79">
        <f t="shared" si="2"/>
        <v>-84.490000000000123</v>
      </c>
    </row>
    <row r="187" spans="2:8" ht="13.8">
      <c r="B187" s="8" t="s">
        <v>135</v>
      </c>
      <c r="C187" s="83" t="s">
        <v>258</v>
      </c>
      <c r="D187" s="1" t="s">
        <v>61</v>
      </c>
      <c r="E187" s="1" t="str">
        <f>IF(ISERROR(VLOOKUP(D187,Categorias!A:B,2,0)),"",VLOOKUP(D187,Categorias!A:B,2,0))</f>
        <v>RECEITA</v>
      </c>
      <c r="F187" s="81">
        <v>25</v>
      </c>
      <c r="G187" s="5"/>
      <c r="H187" s="79">
        <f t="shared" si="2"/>
        <v>-59.490000000000123</v>
      </c>
    </row>
    <row r="188" spans="2:8" ht="13.8">
      <c r="B188" s="8" t="s">
        <v>135</v>
      </c>
      <c r="C188" s="83" t="s">
        <v>259</v>
      </c>
      <c r="D188" s="1" t="s">
        <v>61</v>
      </c>
      <c r="E188" s="1" t="str">
        <f>IF(ISERROR(VLOOKUP(D188,Categorias!A:B,2,0)),"",VLOOKUP(D188,Categorias!A:B,2,0))</f>
        <v>RECEITA</v>
      </c>
      <c r="F188" s="81">
        <v>25</v>
      </c>
      <c r="G188" s="5"/>
      <c r="H188" s="79">
        <f t="shared" si="2"/>
        <v>-34.490000000000123</v>
      </c>
    </row>
    <row r="189" spans="2:8" ht="13.8">
      <c r="B189" s="8" t="s">
        <v>135</v>
      </c>
      <c r="C189" s="83" t="s">
        <v>260</v>
      </c>
      <c r="D189" s="1" t="s">
        <v>61</v>
      </c>
      <c r="E189" s="1" t="str">
        <f>IF(ISERROR(VLOOKUP(D189,Categorias!A:B,2,0)),"",VLOOKUP(D189,Categorias!A:B,2,0))</f>
        <v>RECEITA</v>
      </c>
      <c r="F189" s="81">
        <v>25</v>
      </c>
      <c r="G189" s="5"/>
      <c r="H189" s="79">
        <f t="shared" si="2"/>
        <v>-9.4900000000001228</v>
      </c>
    </row>
    <row r="190" spans="2:8" ht="13.8">
      <c r="B190" s="8" t="s">
        <v>135</v>
      </c>
      <c r="C190" s="83" t="s">
        <v>261</v>
      </c>
      <c r="D190" s="1" t="s">
        <v>61</v>
      </c>
      <c r="E190" s="1" t="str">
        <f>IF(ISERROR(VLOOKUP(D190,Categorias!A:B,2,0)),"",VLOOKUP(D190,Categorias!A:B,2,0))</f>
        <v>RECEITA</v>
      </c>
      <c r="F190" s="81">
        <v>25</v>
      </c>
      <c r="G190" s="5"/>
      <c r="H190" s="79">
        <f t="shared" si="2"/>
        <v>15.509999999999877</v>
      </c>
    </row>
    <row r="191" spans="2:8" ht="13.8">
      <c r="B191" s="8" t="s">
        <v>135</v>
      </c>
      <c r="C191" s="83" t="s">
        <v>203</v>
      </c>
      <c r="D191" s="1" t="s">
        <v>61</v>
      </c>
      <c r="E191" s="1" t="str">
        <f>IF(ISERROR(VLOOKUP(D191,Categorias!A:B,2,0)),"",VLOOKUP(D191,Categorias!A:B,2,0))</f>
        <v>RECEITA</v>
      </c>
      <c r="F191" s="81">
        <v>57</v>
      </c>
      <c r="G191" s="5"/>
      <c r="H191" s="79">
        <f t="shared" si="2"/>
        <v>72.509999999999877</v>
      </c>
    </row>
    <row r="192" spans="2:8" ht="13.8">
      <c r="B192" s="8" t="s">
        <v>135</v>
      </c>
      <c r="C192" s="83" t="s">
        <v>262</v>
      </c>
      <c r="D192" s="1" t="s">
        <v>61</v>
      </c>
      <c r="E192" s="1" t="str">
        <f>IF(ISERROR(VLOOKUP(D192,Categorias!A:B,2,0)),"",VLOOKUP(D192,Categorias!A:B,2,0))</f>
        <v>RECEITA</v>
      </c>
      <c r="F192" s="81">
        <v>25</v>
      </c>
      <c r="G192" s="5"/>
      <c r="H192" s="79">
        <f t="shared" si="2"/>
        <v>97.509999999999877</v>
      </c>
    </row>
    <row r="193" spans="2:8" ht="13.8">
      <c r="B193" s="8" t="s">
        <v>135</v>
      </c>
      <c r="C193" s="83" t="s">
        <v>263</v>
      </c>
      <c r="D193" s="1" t="s">
        <v>61</v>
      </c>
      <c r="E193" s="1" t="str">
        <f>IF(ISERROR(VLOOKUP(D193,Categorias!A:B,2,0)),"",VLOOKUP(D193,Categorias!A:B,2,0))</f>
        <v>RECEITA</v>
      </c>
      <c r="F193" s="81">
        <v>30</v>
      </c>
      <c r="G193" s="5"/>
      <c r="H193" s="79">
        <f t="shared" si="2"/>
        <v>127.50999999999988</v>
      </c>
    </row>
    <row r="194" spans="2:8" ht="13.8">
      <c r="B194" s="8" t="s">
        <v>135</v>
      </c>
      <c r="C194" s="83" t="s">
        <v>264</v>
      </c>
      <c r="D194" s="1" t="s">
        <v>61</v>
      </c>
      <c r="E194" s="1" t="str">
        <f>IF(ISERROR(VLOOKUP(D194,Categorias!A:B,2,0)),"",VLOOKUP(D194,Categorias!A:B,2,0))</f>
        <v>RECEITA</v>
      </c>
      <c r="F194" s="81">
        <v>25</v>
      </c>
      <c r="G194" s="5"/>
      <c r="H194" s="79">
        <f t="shared" si="2"/>
        <v>152.50999999999988</v>
      </c>
    </row>
    <row r="195" spans="2:8" ht="13.8">
      <c r="B195" s="8" t="s">
        <v>135</v>
      </c>
      <c r="C195" s="83" t="s">
        <v>152</v>
      </c>
      <c r="D195" s="1" t="s">
        <v>61</v>
      </c>
      <c r="E195" s="1" t="str">
        <f>IF(ISERROR(VLOOKUP(D195,Categorias!A:B,2,0)),"",VLOOKUP(D195,Categorias!A:B,2,0))</f>
        <v>RECEITA</v>
      </c>
      <c r="F195" s="81">
        <v>25</v>
      </c>
      <c r="G195" s="5"/>
      <c r="H195" s="79">
        <f t="shared" si="2"/>
        <v>177.50999999999988</v>
      </c>
    </row>
    <row r="196" spans="2:8" ht="13.8">
      <c r="B196" s="8" t="s">
        <v>135</v>
      </c>
      <c r="C196" s="83" t="s">
        <v>255</v>
      </c>
      <c r="D196" s="1" t="s">
        <v>61</v>
      </c>
      <c r="E196" s="1" t="str">
        <f>IF(ISERROR(VLOOKUP(D196,Categorias!A:B,2,0)),"",VLOOKUP(D196,Categorias!A:B,2,0))</f>
        <v>RECEITA</v>
      </c>
      <c r="F196" s="81">
        <v>25</v>
      </c>
      <c r="G196" s="5"/>
      <c r="H196" s="79">
        <f t="shared" si="2"/>
        <v>202.50999999999988</v>
      </c>
    </row>
    <row r="197" spans="2:8" ht="13.8">
      <c r="B197" s="8" t="s">
        <v>135</v>
      </c>
      <c r="C197" s="83" t="s">
        <v>265</v>
      </c>
      <c r="D197" s="1" t="s">
        <v>61</v>
      </c>
      <c r="E197" s="1" t="str">
        <f>IF(ISERROR(VLOOKUP(D197,Categorias!A:B,2,0)),"",VLOOKUP(D197,Categorias!A:B,2,0))</f>
        <v>RECEITA</v>
      </c>
      <c r="F197" s="81">
        <v>30</v>
      </c>
      <c r="G197" s="5"/>
      <c r="H197" s="79">
        <f t="shared" si="2"/>
        <v>232.50999999999988</v>
      </c>
    </row>
    <row r="198" spans="2:8" ht="13.8">
      <c r="B198" s="8" t="s">
        <v>135</v>
      </c>
      <c r="C198" s="83" t="s">
        <v>266</v>
      </c>
      <c r="D198" s="1" t="s">
        <v>61</v>
      </c>
      <c r="E198" s="1" t="str">
        <f>IF(ISERROR(VLOOKUP(D198,Categorias!A:B,2,0)),"",VLOOKUP(D198,Categorias!A:B,2,0))</f>
        <v>RECEITA</v>
      </c>
      <c r="F198" s="81">
        <v>30</v>
      </c>
      <c r="G198" s="5"/>
      <c r="H198" s="79">
        <f t="shared" si="2"/>
        <v>262.50999999999988</v>
      </c>
    </row>
    <row r="199" spans="2:8" ht="13.8">
      <c r="B199" s="8" t="s">
        <v>135</v>
      </c>
      <c r="C199" s="83" t="s">
        <v>267</v>
      </c>
      <c r="D199" s="1" t="s">
        <v>61</v>
      </c>
      <c r="E199" s="1" t="str">
        <f>IF(ISERROR(VLOOKUP(D199,Categorias!A:B,2,0)),"",VLOOKUP(D199,Categorias!A:B,2,0))</f>
        <v>RECEITA</v>
      </c>
      <c r="F199" s="81">
        <v>25</v>
      </c>
      <c r="G199" s="5"/>
      <c r="H199" s="79">
        <f t="shared" si="2"/>
        <v>287.50999999999988</v>
      </c>
    </row>
    <row r="200" spans="2:8" ht="13.8">
      <c r="B200" s="8" t="s">
        <v>135</v>
      </c>
      <c r="C200" s="83" t="s">
        <v>268</v>
      </c>
      <c r="D200" s="1" t="s">
        <v>61</v>
      </c>
      <c r="E200" s="1" t="str">
        <f>IF(ISERROR(VLOOKUP(D200,Categorias!A:B,2,0)),"",VLOOKUP(D200,Categorias!A:B,2,0))</f>
        <v>RECEITA</v>
      </c>
      <c r="F200" s="81">
        <v>25</v>
      </c>
      <c r="G200" s="5"/>
      <c r="H200" s="79">
        <f t="shared" si="2"/>
        <v>312.50999999999988</v>
      </c>
    </row>
    <row r="201" spans="2:8" ht="13.8">
      <c r="B201" s="8" t="s">
        <v>135</v>
      </c>
      <c r="C201" s="83" t="s">
        <v>269</v>
      </c>
      <c r="D201" s="1" t="s">
        <v>61</v>
      </c>
      <c r="E201" s="1" t="str">
        <f>IF(ISERROR(VLOOKUP(D201,Categorias!A:B,2,0)),"",VLOOKUP(D201,Categorias!A:B,2,0))</f>
        <v>RECEITA</v>
      </c>
      <c r="F201" s="81">
        <v>25</v>
      </c>
      <c r="G201" s="5"/>
      <c r="H201" s="79">
        <f t="shared" si="2"/>
        <v>337.50999999999988</v>
      </c>
    </row>
    <row r="202" spans="2:8" ht="13.8">
      <c r="B202" s="8" t="s">
        <v>135</v>
      </c>
      <c r="C202" s="83" t="s">
        <v>270</v>
      </c>
      <c r="D202" s="1" t="s">
        <v>61</v>
      </c>
      <c r="E202" s="1" t="str">
        <f>IF(ISERROR(VLOOKUP(D202,Categorias!A:B,2,0)),"",VLOOKUP(D202,Categorias!A:B,2,0))</f>
        <v>RECEITA</v>
      </c>
      <c r="F202" s="81">
        <v>62</v>
      </c>
      <c r="G202" s="5"/>
      <c r="H202" s="79">
        <f t="shared" si="2"/>
        <v>399.50999999999988</v>
      </c>
    </row>
    <row r="203" spans="2:8" ht="13.8">
      <c r="B203" s="8" t="s">
        <v>135</v>
      </c>
      <c r="C203" s="83" t="s">
        <v>210</v>
      </c>
      <c r="D203" s="1" t="s">
        <v>61</v>
      </c>
      <c r="E203" s="1" t="str">
        <f>IF(ISERROR(VLOOKUP(D203,Categorias!A:B,2,0)),"",VLOOKUP(D203,Categorias!A:B,2,0))</f>
        <v>RECEITA</v>
      </c>
      <c r="F203" s="81">
        <v>41</v>
      </c>
      <c r="G203" s="5"/>
      <c r="H203" s="79">
        <f t="shared" si="2"/>
        <v>440.50999999999988</v>
      </c>
    </row>
    <row r="204" spans="2:8" ht="13.8">
      <c r="B204" s="8" t="s">
        <v>136</v>
      </c>
      <c r="C204" s="97" t="s">
        <v>315</v>
      </c>
      <c r="D204" s="1" t="s">
        <v>10</v>
      </c>
      <c r="E204" s="1" t="str">
        <f>IF(ISERROR(VLOOKUP(D204,Categorias!A:B,2,0)),"",VLOOKUP(D204,Categorias!A:B,2,0))</f>
        <v>INVESTIMENTOS</v>
      </c>
      <c r="F204" s="81"/>
      <c r="G204" s="5">
        <v>250</v>
      </c>
      <c r="H204" s="79">
        <f t="shared" si="2"/>
        <v>190.50999999999988</v>
      </c>
    </row>
    <row r="205" spans="2:8" ht="13.8">
      <c r="B205" s="8" t="s">
        <v>136</v>
      </c>
      <c r="C205" s="83" t="s">
        <v>271</v>
      </c>
      <c r="D205" s="1" t="s">
        <v>62</v>
      </c>
      <c r="E205" s="1" t="str">
        <f>IF(ISERROR(VLOOKUP(D205,Categorias!A:B,2,0)),"",VLOOKUP(D205,Categorias!A:B,2,0))</f>
        <v>DESPESAS FIXAS</v>
      </c>
      <c r="F205" s="81"/>
      <c r="G205" s="5">
        <v>150</v>
      </c>
      <c r="H205" s="79">
        <f t="shared" si="2"/>
        <v>40.509999999999877</v>
      </c>
    </row>
    <row r="206" spans="2:8" ht="13.8">
      <c r="B206" s="8" t="s">
        <v>136</v>
      </c>
      <c r="C206" s="83" t="s">
        <v>272</v>
      </c>
      <c r="D206" s="1" t="s">
        <v>61</v>
      </c>
      <c r="E206" s="1" t="str">
        <f>IF(ISERROR(VLOOKUP(D206,Categorias!A:B,2,0)),"",VLOOKUP(D206,Categorias!A:B,2,0))</f>
        <v>RECEITA</v>
      </c>
      <c r="F206" s="81">
        <v>25</v>
      </c>
      <c r="G206" s="5"/>
      <c r="H206" s="79">
        <f t="shared" si="2"/>
        <v>65.509999999999877</v>
      </c>
    </row>
    <row r="207" spans="2:8" ht="13.8">
      <c r="B207" s="8" t="s">
        <v>136</v>
      </c>
      <c r="C207" s="83" t="s">
        <v>263</v>
      </c>
      <c r="D207" s="1" t="s">
        <v>61</v>
      </c>
      <c r="E207" s="1" t="str">
        <f>IF(ISERROR(VLOOKUP(D207,Categorias!A:B,2,0)),"",VLOOKUP(D207,Categorias!A:B,2,0))</f>
        <v>RECEITA</v>
      </c>
      <c r="F207" s="81">
        <v>35</v>
      </c>
      <c r="G207" s="5"/>
      <c r="H207" s="79">
        <f t="shared" si="2"/>
        <v>100.50999999999988</v>
      </c>
    </row>
    <row r="208" spans="2:8" ht="13.8">
      <c r="B208" s="8" t="s">
        <v>136</v>
      </c>
      <c r="C208" s="83" t="s">
        <v>273</v>
      </c>
      <c r="D208" s="1" t="s">
        <v>61</v>
      </c>
      <c r="E208" s="1" t="str">
        <f>IF(ISERROR(VLOOKUP(D208,Categorias!A:B,2,0)),"",VLOOKUP(D208,Categorias!A:B,2,0))</f>
        <v>RECEITA</v>
      </c>
      <c r="F208" s="81">
        <v>50</v>
      </c>
      <c r="G208" s="5"/>
      <c r="H208" s="79">
        <f t="shared" si="2"/>
        <v>150.50999999999988</v>
      </c>
    </row>
    <row r="209" spans="2:8" ht="13.8">
      <c r="B209" s="8" t="s">
        <v>136</v>
      </c>
      <c r="C209" s="83" t="s">
        <v>274</v>
      </c>
      <c r="D209" s="1" t="s">
        <v>61</v>
      </c>
      <c r="E209" s="1" t="str">
        <f>IF(ISERROR(VLOOKUP(D209,Categorias!A:B,2,0)),"",VLOOKUP(D209,Categorias!A:B,2,0))</f>
        <v>RECEITA</v>
      </c>
      <c r="F209" s="81">
        <v>25</v>
      </c>
      <c r="G209" s="5"/>
      <c r="H209" s="79">
        <f t="shared" si="2"/>
        <v>175.50999999999988</v>
      </c>
    </row>
    <row r="210" spans="2:8" ht="13.8">
      <c r="B210" s="8" t="s">
        <v>136</v>
      </c>
      <c r="C210" s="83" t="s">
        <v>193</v>
      </c>
      <c r="D210" s="1" t="s">
        <v>61</v>
      </c>
      <c r="E210" s="1" t="str">
        <f>IF(ISERROR(VLOOKUP(D210,Categorias!A:B,2,0)),"",VLOOKUP(D210,Categorias!A:B,2,0))</f>
        <v>RECEITA</v>
      </c>
      <c r="F210" s="81">
        <v>33</v>
      </c>
      <c r="G210" s="5"/>
      <c r="H210" s="79">
        <f t="shared" si="2"/>
        <v>208.50999999999988</v>
      </c>
    </row>
    <row r="211" spans="2:8" ht="13.8">
      <c r="B211" s="8" t="s">
        <v>137</v>
      </c>
      <c r="C211" s="83" t="s">
        <v>177</v>
      </c>
      <c r="D211" s="1" t="s">
        <v>5</v>
      </c>
      <c r="E211" s="1" t="str">
        <f>IF(ISERROR(VLOOKUP(D211,Categorias!A:B,2,0)),"",VLOOKUP(D211,Categorias!A:B,2,0))</f>
        <v>DESPESAS FIXAS</v>
      </c>
      <c r="F211" s="81"/>
      <c r="G211" s="5">
        <v>30</v>
      </c>
      <c r="H211" s="79">
        <f t="shared" si="2"/>
        <v>178.50999999999988</v>
      </c>
    </row>
    <row r="212" spans="2:8" ht="13.8">
      <c r="B212" s="8" t="s">
        <v>137</v>
      </c>
      <c r="C212" s="83" t="s">
        <v>275</v>
      </c>
      <c r="D212" s="1" t="s">
        <v>58</v>
      </c>
      <c r="E212" s="1" t="str">
        <f>IF(ISERROR(VLOOKUP(D212,Categorias!A:B,2,0)),"",VLOOKUP(D212,Categorias!A:B,2,0))</f>
        <v>DESPESAS FIXAS</v>
      </c>
      <c r="F212" s="81"/>
      <c r="G212" s="5">
        <v>502.59</v>
      </c>
      <c r="H212" s="79">
        <f t="shared" ref="H212:H262" si="3">H211+F212-G212</f>
        <v>-324.0800000000001</v>
      </c>
    </row>
    <row r="213" spans="2:8" ht="13.8">
      <c r="B213" s="8" t="s">
        <v>137</v>
      </c>
      <c r="C213" s="83" t="s">
        <v>275</v>
      </c>
      <c r="D213" s="1" t="s">
        <v>58</v>
      </c>
      <c r="E213" s="1" t="str">
        <f>IF(ISERROR(VLOOKUP(D213,Categorias!A:B,2,0)),"",VLOOKUP(D213,Categorias!A:B,2,0))</f>
        <v>DESPESAS FIXAS</v>
      </c>
      <c r="F213" s="81"/>
      <c r="G213" s="5">
        <v>518.66</v>
      </c>
      <c r="H213" s="79">
        <f t="shared" si="3"/>
        <v>-842.74</v>
      </c>
    </row>
    <row r="214" spans="2:8" ht="13.8">
      <c r="B214" s="8" t="s">
        <v>137</v>
      </c>
      <c r="C214" s="83" t="s">
        <v>187</v>
      </c>
      <c r="D214" s="1" t="s">
        <v>61</v>
      </c>
      <c r="E214" s="1" t="str">
        <f>IF(ISERROR(VLOOKUP(D214,Categorias!A:B,2,0)),"",VLOOKUP(D214,Categorias!A:B,2,0))</f>
        <v>RECEITA</v>
      </c>
      <c r="F214" s="81">
        <v>58.81</v>
      </c>
      <c r="G214" s="5"/>
      <c r="H214" s="79">
        <f t="shared" si="3"/>
        <v>-783.93000000000006</v>
      </c>
    </row>
    <row r="215" spans="2:8" ht="13.8">
      <c r="B215" s="8" t="s">
        <v>137</v>
      </c>
      <c r="C215" s="83" t="s">
        <v>187</v>
      </c>
      <c r="D215" s="1" t="s">
        <v>61</v>
      </c>
      <c r="E215" s="1" t="str">
        <f>IF(ISERROR(VLOOKUP(D215,Categorias!A:B,2,0)),"",VLOOKUP(D215,Categorias!A:B,2,0))</f>
        <v>RECEITA</v>
      </c>
      <c r="F215" s="81">
        <v>98.02</v>
      </c>
      <c r="G215" s="5"/>
      <c r="H215" s="79">
        <f t="shared" si="3"/>
        <v>-685.91000000000008</v>
      </c>
    </row>
    <row r="216" spans="2:8" ht="13.8">
      <c r="B216" s="8" t="s">
        <v>137</v>
      </c>
      <c r="C216" s="83" t="s">
        <v>177</v>
      </c>
      <c r="D216" s="1" t="s">
        <v>12</v>
      </c>
      <c r="E216" s="1" t="str">
        <f>IF(ISERROR(VLOOKUP(D216,Categorias!A:B,2,0)),"",VLOOKUP(D216,Categorias!A:B,2,0))</f>
        <v>NÃO OPERACIONAL</v>
      </c>
      <c r="F216" s="81"/>
      <c r="G216" s="5">
        <v>60</v>
      </c>
      <c r="H216" s="79">
        <f t="shared" si="3"/>
        <v>-745.91000000000008</v>
      </c>
    </row>
    <row r="217" spans="2:8" ht="13.8">
      <c r="B217" s="8" t="s">
        <v>137</v>
      </c>
      <c r="C217" s="83" t="s">
        <v>188</v>
      </c>
      <c r="D217" s="1" t="s">
        <v>61</v>
      </c>
      <c r="E217" s="1" t="str">
        <f>IF(ISERROR(VLOOKUP(D217,Categorias!A:B,2,0)),"",VLOOKUP(D217,Categorias!A:B,2,0))</f>
        <v>RECEITA</v>
      </c>
      <c r="F217" s="81">
        <v>145.38</v>
      </c>
      <c r="G217" s="5"/>
      <c r="H217" s="79">
        <f t="shared" si="3"/>
        <v>-600.53000000000009</v>
      </c>
    </row>
    <row r="218" spans="2:8" ht="13.8">
      <c r="B218" s="8" t="s">
        <v>138</v>
      </c>
      <c r="C218" s="83" t="s">
        <v>276</v>
      </c>
      <c r="D218" s="1" t="s">
        <v>61</v>
      </c>
      <c r="E218" s="1" t="str">
        <f>IF(ISERROR(VLOOKUP(D218,Categorias!A:B,2,0)),"",VLOOKUP(D218,Categorias!A:B,2,0))</f>
        <v>RECEITA</v>
      </c>
      <c r="F218" s="81">
        <v>25</v>
      </c>
      <c r="G218" s="5"/>
      <c r="H218" s="79">
        <f t="shared" si="3"/>
        <v>-575.53000000000009</v>
      </c>
    </row>
    <row r="219" spans="2:8" ht="13.8">
      <c r="B219" s="8" t="s">
        <v>138</v>
      </c>
      <c r="C219" s="83" t="s">
        <v>277</v>
      </c>
      <c r="D219" s="1" t="s">
        <v>61</v>
      </c>
      <c r="E219" s="1" t="str">
        <f>IF(ISERROR(VLOOKUP(D219,Categorias!A:B,2,0)),"",VLOOKUP(D219,Categorias!A:B,2,0))</f>
        <v>RECEITA</v>
      </c>
      <c r="F219" s="81">
        <v>58</v>
      </c>
      <c r="G219" s="5"/>
      <c r="H219" s="79">
        <f t="shared" si="3"/>
        <v>-517.53000000000009</v>
      </c>
    </row>
    <row r="220" spans="2:8" ht="13.8">
      <c r="B220" s="8" t="s">
        <v>138</v>
      </c>
      <c r="C220" s="83" t="s">
        <v>152</v>
      </c>
      <c r="D220" s="1" t="s">
        <v>61</v>
      </c>
      <c r="E220" s="1" t="str">
        <f>IF(ISERROR(VLOOKUP(D220,Categorias!A:B,2,0)),"",VLOOKUP(D220,Categorias!A:B,2,0))</f>
        <v>RECEITA</v>
      </c>
      <c r="F220" s="81">
        <v>25</v>
      </c>
      <c r="G220" s="5"/>
      <c r="H220" s="79">
        <f t="shared" si="3"/>
        <v>-492.53000000000009</v>
      </c>
    </row>
    <row r="221" spans="2:8" ht="13.8">
      <c r="B221" s="8" t="s">
        <v>138</v>
      </c>
      <c r="C221" s="83" t="s">
        <v>278</v>
      </c>
      <c r="D221" s="1" t="s">
        <v>61</v>
      </c>
      <c r="E221" s="1" t="str">
        <f>IF(ISERROR(VLOOKUP(D221,Categorias!A:B,2,0)),"",VLOOKUP(D221,Categorias!A:B,2,0))</f>
        <v>RECEITA</v>
      </c>
      <c r="F221" s="81">
        <v>100</v>
      </c>
      <c r="G221" s="5"/>
      <c r="H221" s="79">
        <f t="shared" si="3"/>
        <v>-392.53000000000009</v>
      </c>
    </row>
    <row r="222" spans="2:8" ht="13.8">
      <c r="B222" s="8" t="s">
        <v>138</v>
      </c>
      <c r="C222" s="83" t="s">
        <v>232</v>
      </c>
      <c r="D222" s="1" t="s">
        <v>61</v>
      </c>
      <c r="E222" s="1" t="str">
        <f>IF(ISERROR(VLOOKUP(D222,Categorias!A:B,2,0)),"",VLOOKUP(D222,Categorias!A:B,2,0))</f>
        <v>RECEITA</v>
      </c>
      <c r="F222" s="81">
        <v>75</v>
      </c>
      <c r="G222" s="5"/>
      <c r="H222" s="79">
        <f t="shared" si="3"/>
        <v>-317.53000000000009</v>
      </c>
    </row>
    <row r="223" spans="2:8" ht="13.8">
      <c r="B223" s="8" t="s">
        <v>138</v>
      </c>
      <c r="C223" s="83" t="s">
        <v>279</v>
      </c>
      <c r="D223" s="1" t="s">
        <v>61</v>
      </c>
      <c r="E223" s="1" t="str">
        <f>IF(ISERROR(VLOOKUP(D223,Categorias!A:B,2,0)),"",VLOOKUP(D223,Categorias!A:B,2,0))</f>
        <v>RECEITA</v>
      </c>
      <c r="F223" s="81">
        <v>20</v>
      </c>
      <c r="G223" s="5"/>
      <c r="H223" s="79">
        <f t="shared" si="3"/>
        <v>-297.53000000000009</v>
      </c>
    </row>
    <row r="224" spans="2:8" ht="13.8">
      <c r="B224" s="8" t="s">
        <v>138</v>
      </c>
      <c r="C224" s="83" t="s">
        <v>156</v>
      </c>
      <c r="D224" s="1" t="s">
        <v>61</v>
      </c>
      <c r="E224" s="1" t="str">
        <f>IF(ISERROR(VLOOKUP(D224,Categorias!A:B,2,0)),"",VLOOKUP(D224,Categorias!A:B,2,0))</f>
        <v>RECEITA</v>
      </c>
      <c r="F224" s="81">
        <v>59</v>
      </c>
      <c r="G224" s="5"/>
      <c r="H224" s="79">
        <f t="shared" si="3"/>
        <v>-238.53000000000009</v>
      </c>
    </row>
    <row r="225" spans="2:8" ht="13.8">
      <c r="B225" s="8" t="s">
        <v>138</v>
      </c>
      <c r="C225" s="83" t="s">
        <v>199</v>
      </c>
      <c r="D225" s="1" t="s">
        <v>61</v>
      </c>
      <c r="E225" s="1" t="str">
        <f>IF(ISERROR(VLOOKUP(D225,Categorias!A:B,2,0)),"",VLOOKUP(D225,Categorias!A:B,2,0))</f>
        <v>RECEITA</v>
      </c>
      <c r="F225" s="81">
        <v>50</v>
      </c>
      <c r="G225" s="5"/>
      <c r="H225" s="79">
        <f t="shared" si="3"/>
        <v>-188.53000000000009</v>
      </c>
    </row>
    <row r="226" spans="2:8" ht="13.8">
      <c r="B226" s="8" t="s">
        <v>138</v>
      </c>
      <c r="C226" s="83" t="s">
        <v>280</v>
      </c>
      <c r="D226" s="1" t="s">
        <v>61</v>
      </c>
      <c r="E226" s="1" t="str">
        <f>IF(ISERROR(VLOOKUP(D226,Categorias!A:B,2,0)),"",VLOOKUP(D226,Categorias!A:B,2,0))</f>
        <v>RECEITA</v>
      </c>
      <c r="F226" s="81">
        <v>25</v>
      </c>
      <c r="G226" s="5"/>
      <c r="H226" s="79">
        <f t="shared" si="3"/>
        <v>-163.53000000000009</v>
      </c>
    </row>
    <row r="227" spans="2:8" ht="13.8">
      <c r="B227" s="8" t="s">
        <v>138</v>
      </c>
      <c r="C227" s="83" t="s">
        <v>281</v>
      </c>
      <c r="D227" s="1" t="s">
        <v>61</v>
      </c>
      <c r="E227" s="1" t="str">
        <f>IF(ISERROR(VLOOKUP(D227,Categorias!A:B,2,0)),"",VLOOKUP(D227,Categorias!A:B,2,0))</f>
        <v>RECEITA</v>
      </c>
      <c r="F227" s="81">
        <v>25</v>
      </c>
      <c r="G227" s="5"/>
      <c r="H227" s="79">
        <f t="shared" si="3"/>
        <v>-138.53000000000009</v>
      </c>
    </row>
    <row r="228" spans="2:8" ht="13.8">
      <c r="B228" s="8" t="s">
        <v>138</v>
      </c>
      <c r="C228" s="83" t="s">
        <v>282</v>
      </c>
      <c r="D228" s="1" t="s">
        <v>61</v>
      </c>
      <c r="E228" s="1" t="str">
        <f>IF(ISERROR(VLOOKUP(D228,Categorias!A:B,2,0)),"",VLOOKUP(D228,Categorias!A:B,2,0))</f>
        <v>RECEITA</v>
      </c>
      <c r="F228" s="81">
        <v>25</v>
      </c>
      <c r="G228" s="5"/>
      <c r="H228" s="79">
        <f t="shared" si="3"/>
        <v>-113.53000000000009</v>
      </c>
    </row>
    <row r="229" spans="2:8" ht="13.8">
      <c r="B229" s="8" t="s">
        <v>138</v>
      </c>
      <c r="C229" s="83" t="s">
        <v>173</v>
      </c>
      <c r="D229" s="1" t="s">
        <v>61</v>
      </c>
      <c r="E229" s="1" t="str">
        <f>IF(ISERROR(VLOOKUP(D229,Categorias!A:B,2,0)),"",VLOOKUP(D229,Categorias!A:B,2,0))</f>
        <v>RECEITA</v>
      </c>
      <c r="F229" s="81">
        <v>10</v>
      </c>
      <c r="G229" s="5"/>
      <c r="H229" s="79">
        <f t="shared" si="3"/>
        <v>-103.53000000000009</v>
      </c>
    </row>
    <row r="230" spans="2:8" ht="13.8">
      <c r="B230" s="8" t="s">
        <v>138</v>
      </c>
      <c r="C230" s="83" t="s">
        <v>166</v>
      </c>
      <c r="D230" s="1" t="s">
        <v>61</v>
      </c>
      <c r="E230" s="1" t="str">
        <f>IF(ISERROR(VLOOKUP(D230,Categorias!A:B,2,0)),"",VLOOKUP(D230,Categorias!A:B,2,0))</f>
        <v>RECEITA</v>
      </c>
      <c r="F230" s="81">
        <v>50</v>
      </c>
      <c r="G230" s="5"/>
      <c r="H230" s="79">
        <f t="shared" si="3"/>
        <v>-53.530000000000086</v>
      </c>
    </row>
    <row r="231" spans="2:8" ht="13.8">
      <c r="B231" s="8" t="s">
        <v>138</v>
      </c>
      <c r="C231" s="83" t="s">
        <v>187</v>
      </c>
      <c r="D231" s="1" t="s">
        <v>61</v>
      </c>
      <c r="E231" s="1" t="str">
        <f>IF(ISERROR(VLOOKUP(D231,Categorias!A:B,2,0)),"",VLOOKUP(D231,Categorias!A:B,2,0))</f>
        <v>RECEITA</v>
      </c>
      <c r="F231" s="81">
        <v>39.21</v>
      </c>
      <c r="G231" s="5"/>
      <c r="H231" s="79">
        <f t="shared" si="3"/>
        <v>-14.320000000000086</v>
      </c>
    </row>
    <row r="232" spans="2:8" ht="13.8">
      <c r="B232" s="8" t="s">
        <v>139</v>
      </c>
      <c r="C232" s="83" t="s">
        <v>199</v>
      </c>
      <c r="D232" s="1" t="s">
        <v>61</v>
      </c>
      <c r="E232" s="1" t="str">
        <f>IF(ISERROR(VLOOKUP(D232,Categorias!A:B,2,0)),"",VLOOKUP(D232,Categorias!A:B,2,0))</f>
        <v>RECEITA</v>
      </c>
      <c r="F232" s="81">
        <v>15</v>
      </c>
      <c r="G232" s="5"/>
      <c r="H232" s="79">
        <f t="shared" si="3"/>
        <v>0.67999999999991445</v>
      </c>
    </row>
    <row r="233" spans="2:8" ht="13.8">
      <c r="B233" s="8" t="s">
        <v>139</v>
      </c>
      <c r="C233" s="83" t="s">
        <v>283</v>
      </c>
      <c r="D233" s="1" t="s">
        <v>61</v>
      </c>
      <c r="E233" s="1" t="str">
        <f>IF(ISERROR(VLOOKUP(D233,Categorias!A:B,2,0)),"",VLOOKUP(D233,Categorias!A:B,2,0))</f>
        <v>RECEITA</v>
      </c>
      <c r="F233" s="81">
        <v>35</v>
      </c>
      <c r="G233" s="5"/>
      <c r="H233" s="79">
        <f t="shared" si="3"/>
        <v>35.679999999999914</v>
      </c>
    </row>
    <row r="234" spans="2:8" ht="13.8">
      <c r="B234" s="8" t="s">
        <v>139</v>
      </c>
      <c r="C234" s="83" t="s">
        <v>284</v>
      </c>
      <c r="D234" s="1" t="s">
        <v>61</v>
      </c>
      <c r="E234" s="1" t="str">
        <f>IF(ISERROR(VLOOKUP(D234,Categorias!A:B,2,0)),"",VLOOKUP(D234,Categorias!A:B,2,0))</f>
        <v>RECEITA</v>
      </c>
      <c r="F234" s="81">
        <v>25</v>
      </c>
      <c r="G234" s="5"/>
      <c r="H234" s="79">
        <f t="shared" si="3"/>
        <v>60.679999999999914</v>
      </c>
    </row>
    <row r="235" spans="2:8" ht="13.8">
      <c r="B235" s="8" t="s">
        <v>139</v>
      </c>
      <c r="C235" s="83" t="s">
        <v>285</v>
      </c>
      <c r="D235" s="1" t="s">
        <v>61</v>
      </c>
      <c r="E235" s="1" t="str">
        <f>IF(ISERROR(VLOOKUP(D235,Categorias!A:B,2,0)),"",VLOOKUP(D235,Categorias!A:B,2,0))</f>
        <v>RECEITA</v>
      </c>
      <c r="F235" s="81">
        <v>25</v>
      </c>
      <c r="G235" s="5"/>
      <c r="H235" s="79">
        <f t="shared" si="3"/>
        <v>85.679999999999922</v>
      </c>
    </row>
    <row r="236" spans="2:8" ht="13.8">
      <c r="B236" s="8" t="s">
        <v>139</v>
      </c>
      <c r="C236" s="83" t="s">
        <v>148</v>
      </c>
      <c r="D236" s="1" t="s">
        <v>61</v>
      </c>
      <c r="E236" s="1" t="str">
        <f>IF(ISERROR(VLOOKUP(D236,Categorias!A:B,2,0)),"",VLOOKUP(D236,Categorias!A:B,2,0))</f>
        <v>RECEITA</v>
      </c>
      <c r="F236" s="81">
        <v>31</v>
      </c>
      <c r="G236" s="5"/>
      <c r="H236" s="79">
        <f t="shared" si="3"/>
        <v>116.67999999999992</v>
      </c>
    </row>
    <row r="237" spans="2:8" ht="13.8">
      <c r="B237" s="8" t="s">
        <v>139</v>
      </c>
      <c r="C237" s="83" t="s">
        <v>286</v>
      </c>
      <c r="D237" s="1" t="s">
        <v>61</v>
      </c>
      <c r="E237" s="1" t="str">
        <f>IF(ISERROR(VLOOKUP(D237,Categorias!A:B,2,0)),"",VLOOKUP(D237,Categorias!A:B,2,0))</f>
        <v>RECEITA</v>
      </c>
      <c r="F237" s="81">
        <v>25</v>
      </c>
      <c r="G237" s="5"/>
      <c r="H237" s="79">
        <f t="shared" si="3"/>
        <v>141.67999999999992</v>
      </c>
    </row>
    <row r="238" spans="2:8" ht="13.8">
      <c r="B238" s="8" t="s">
        <v>139</v>
      </c>
      <c r="C238" s="83" t="s">
        <v>230</v>
      </c>
      <c r="D238" s="1" t="s">
        <v>68</v>
      </c>
      <c r="E238" s="1" t="str">
        <f>IF(ISERROR(VLOOKUP(D238,Categorias!A:B,2,0)),"",VLOOKUP(D238,Categorias!A:B,2,0))</f>
        <v>NÃO OPERACIONAL</v>
      </c>
      <c r="F238" s="81"/>
      <c r="G238" s="5">
        <v>75</v>
      </c>
      <c r="H238" s="79">
        <f t="shared" si="3"/>
        <v>66.679999999999922</v>
      </c>
    </row>
    <row r="239" spans="2:8" ht="13.8">
      <c r="B239" s="8" t="s">
        <v>139</v>
      </c>
      <c r="C239" s="83" t="s">
        <v>287</v>
      </c>
      <c r="D239" s="1" t="s">
        <v>61</v>
      </c>
      <c r="E239" s="1" t="str">
        <f>IF(ISERROR(VLOOKUP(D239,Categorias!A:B,2,0)),"",VLOOKUP(D239,Categorias!A:B,2,0))</f>
        <v>RECEITA</v>
      </c>
      <c r="F239" s="81">
        <v>50</v>
      </c>
      <c r="G239" s="5"/>
      <c r="H239" s="79">
        <f t="shared" si="3"/>
        <v>116.67999999999992</v>
      </c>
    </row>
    <row r="240" spans="2:8" ht="13.8">
      <c r="B240" s="8" t="s">
        <v>139</v>
      </c>
      <c r="C240" s="83" t="s">
        <v>288</v>
      </c>
      <c r="D240" s="1" t="s">
        <v>63</v>
      </c>
      <c r="E240" s="1" t="str">
        <f>IF(ISERROR(VLOOKUP(D240,Categorias!A:B,2,0)),"",VLOOKUP(D240,Categorias!A:B,2,0))</f>
        <v>DESPESAS FIXAS</v>
      </c>
      <c r="F240" s="81"/>
      <c r="G240" s="5">
        <v>149.80000000000001</v>
      </c>
      <c r="H240" s="79">
        <f t="shared" si="3"/>
        <v>-33.12000000000009</v>
      </c>
    </row>
    <row r="241" spans="2:8" ht="13.8">
      <c r="B241" s="8" t="s">
        <v>139</v>
      </c>
      <c r="C241" s="83" t="s">
        <v>289</v>
      </c>
      <c r="D241" s="1" t="s">
        <v>61</v>
      </c>
      <c r="E241" s="1" t="str">
        <f>IF(ISERROR(VLOOKUP(D241,Categorias!A:B,2,0)),"",VLOOKUP(D241,Categorias!A:B,2,0))</f>
        <v>RECEITA</v>
      </c>
      <c r="F241" s="81">
        <v>25</v>
      </c>
      <c r="G241" s="5"/>
      <c r="H241" s="79">
        <f t="shared" si="3"/>
        <v>-8.1200000000000898</v>
      </c>
    </row>
    <row r="242" spans="2:8" ht="13.8">
      <c r="B242" s="8" t="s">
        <v>139</v>
      </c>
      <c r="C242" s="83" t="s">
        <v>290</v>
      </c>
      <c r="D242" s="1" t="s">
        <v>61</v>
      </c>
      <c r="E242" s="1" t="str">
        <f>IF(ISERROR(VLOOKUP(D242,Categorias!A:B,2,0)),"",VLOOKUP(D242,Categorias!A:B,2,0))</f>
        <v>RECEITA</v>
      </c>
      <c r="F242" s="81">
        <v>25</v>
      </c>
      <c r="G242" s="5"/>
      <c r="H242" s="79">
        <f t="shared" si="3"/>
        <v>16.87999999999991</v>
      </c>
    </row>
    <row r="243" spans="2:8" ht="13.8">
      <c r="B243" s="8" t="s">
        <v>139</v>
      </c>
      <c r="C243" s="83" t="s">
        <v>187</v>
      </c>
      <c r="D243" s="1" t="s">
        <v>61</v>
      </c>
      <c r="E243" s="1" t="str">
        <f>IF(ISERROR(VLOOKUP(D243,Categorias!A:B,2,0)),"",VLOOKUP(D243,Categorias!A:B,2,0))</f>
        <v>RECEITA</v>
      </c>
      <c r="F243" s="81">
        <v>40.19</v>
      </c>
      <c r="G243" s="5"/>
      <c r="H243" s="79">
        <f t="shared" si="3"/>
        <v>57.069999999999908</v>
      </c>
    </row>
    <row r="244" spans="2:8" ht="13.8">
      <c r="B244" s="8" t="s">
        <v>139</v>
      </c>
      <c r="C244" s="83" t="s">
        <v>187</v>
      </c>
      <c r="D244" s="1" t="s">
        <v>61</v>
      </c>
      <c r="E244" s="1" t="str">
        <f>IF(ISERROR(VLOOKUP(D244,Categorias!A:B,2,0)),"",VLOOKUP(D244,Categorias!A:B,2,0))</f>
        <v>RECEITA</v>
      </c>
      <c r="F244" s="81">
        <v>88.22</v>
      </c>
      <c r="G244" s="5"/>
      <c r="H244" s="79">
        <f t="shared" si="3"/>
        <v>145.28999999999991</v>
      </c>
    </row>
    <row r="245" spans="2:8" ht="13.8">
      <c r="B245" s="8" t="s">
        <v>140</v>
      </c>
      <c r="C245" s="97" t="s">
        <v>317</v>
      </c>
      <c r="D245" s="1" t="s">
        <v>2</v>
      </c>
      <c r="E245" s="1" t="str">
        <f>IF(ISERROR(VLOOKUP(D245,Categorias!A:B,2,0)),"",VLOOKUP(D245,Categorias!A:B,2,0))</f>
        <v>GASTOS VARIÁVEIS</v>
      </c>
      <c r="F245" s="81"/>
      <c r="G245" s="5">
        <v>100</v>
      </c>
      <c r="H245" s="79">
        <f t="shared" si="3"/>
        <v>45.289999999999907</v>
      </c>
    </row>
    <row r="246" spans="2:8" ht="13.8">
      <c r="B246" s="8" t="s">
        <v>140</v>
      </c>
      <c r="C246" s="83" t="s">
        <v>157</v>
      </c>
      <c r="D246" s="1" t="s">
        <v>9</v>
      </c>
      <c r="E246" s="1" t="str">
        <f>IF(ISERROR(VLOOKUP(D246,Categorias!A:B,2,0)),"",VLOOKUP(D246,Categorias!A:B,2,0))</f>
        <v>GASTOS VARIÁVEIS</v>
      </c>
      <c r="F246" s="81"/>
      <c r="G246" s="5">
        <v>124</v>
      </c>
      <c r="H246" s="79">
        <f t="shared" si="3"/>
        <v>-78.710000000000093</v>
      </c>
    </row>
    <row r="247" spans="2:8" ht="13.8">
      <c r="B247" s="8" t="s">
        <v>140</v>
      </c>
      <c r="C247" s="83" t="s">
        <v>291</v>
      </c>
      <c r="D247" s="1" t="s">
        <v>61</v>
      </c>
      <c r="E247" s="1" t="str">
        <f>IF(ISERROR(VLOOKUP(D247,Categorias!A:B,2,0)),"",VLOOKUP(D247,Categorias!A:B,2,0))</f>
        <v>RECEITA</v>
      </c>
      <c r="F247" s="81">
        <v>25</v>
      </c>
      <c r="G247" s="5"/>
      <c r="H247" s="79">
        <f t="shared" si="3"/>
        <v>-53.710000000000093</v>
      </c>
    </row>
    <row r="248" spans="2:8" ht="13.8">
      <c r="B248" s="8" t="s">
        <v>140</v>
      </c>
      <c r="C248" s="83" t="s">
        <v>292</v>
      </c>
      <c r="D248" s="1" t="s">
        <v>61</v>
      </c>
      <c r="E248" s="1" t="str">
        <f>IF(ISERROR(VLOOKUP(D248,Categorias!A:B,2,0)),"",VLOOKUP(D248,Categorias!A:B,2,0))</f>
        <v>RECEITA</v>
      </c>
      <c r="F248" s="81">
        <v>50</v>
      </c>
      <c r="G248" s="5"/>
      <c r="H248" s="79">
        <f t="shared" si="3"/>
        <v>-3.7100000000000932</v>
      </c>
    </row>
    <row r="249" spans="2:8" ht="13.8">
      <c r="B249" s="8" t="s">
        <v>140</v>
      </c>
      <c r="C249" s="83" t="s">
        <v>203</v>
      </c>
      <c r="D249" s="1" t="s">
        <v>61</v>
      </c>
      <c r="E249" s="1" t="str">
        <f>IF(ISERROR(VLOOKUP(D249,Categorias!A:B,2,0)),"",VLOOKUP(D249,Categorias!A:B,2,0))</f>
        <v>RECEITA</v>
      </c>
      <c r="F249" s="81">
        <v>25</v>
      </c>
      <c r="G249" s="5"/>
      <c r="H249" s="79">
        <f t="shared" si="3"/>
        <v>21.289999999999907</v>
      </c>
    </row>
    <row r="250" spans="2:8" ht="13.8">
      <c r="B250" s="8" t="s">
        <v>140</v>
      </c>
      <c r="C250" s="83" t="s">
        <v>293</v>
      </c>
      <c r="D250" s="1" t="s">
        <v>61</v>
      </c>
      <c r="E250" s="1" t="str">
        <f>IF(ISERROR(VLOOKUP(D250,Categorias!A:B,2,0)),"",VLOOKUP(D250,Categorias!A:B,2,0))</f>
        <v>RECEITA</v>
      </c>
      <c r="F250" s="81">
        <v>30</v>
      </c>
      <c r="G250" s="5"/>
      <c r="H250" s="79">
        <f t="shared" si="3"/>
        <v>51.289999999999907</v>
      </c>
    </row>
    <row r="251" spans="2:8" ht="13.8">
      <c r="B251" s="8" t="s">
        <v>140</v>
      </c>
      <c r="C251" s="83" t="s">
        <v>294</v>
      </c>
      <c r="D251" s="1" t="s">
        <v>68</v>
      </c>
      <c r="E251" s="1" t="str">
        <f>IF(ISERROR(VLOOKUP(D251,Categorias!A:B,2,0)),"",VLOOKUP(D251,Categorias!A:B,2,0))</f>
        <v>NÃO OPERACIONAL</v>
      </c>
      <c r="F251" s="81"/>
      <c r="G251" s="5">
        <v>63.44</v>
      </c>
      <c r="H251" s="79">
        <f t="shared" si="3"/>
        <v>-12.150000000000091</v>
      </c>
    </row>
    <row r="252" spans="2:8" ht="13.8">
      <c r="B252" s="8" t="s">
        <v>140</v>
      </c>
      <c r="C252" s="83" t="s">
        <v>295</v>
      </c>
      <c r="D252" s="1" t="s">
        <v>61</v>
      </c>
      <c r="E252" s="1" t="str">
        <f>IF(ISERROR(VLOOKUP(D252,Categorias!A:B,2,0)),"",VLOOKUP(D252,Categorias!A:B,2,0))</f>
        <v>RECEITA</v>
      </c>
      <c r="F252" s="81">
        <v>50</v>
      </c>
      <c r="G252" s="5"/>
      <c r="H252" s="79">
        <f t="shared" si="3"/>
        <v>37.849999999999909</v>
      </c>
    </row>
    <row r="253" spans="2:8" ht="13.8">
      <c r="B253" s="8" t="s">
        <v>140</v>
      </c>
      <c r="C253" s="83" t="s">
        <v>147</v>
      </c>
      <c r="D253" s="1" t="s">
        <v>61</v>
      </c>
      <c r="E253" s="1" t="str">
        <f>IF(ISERROR(VLOOKUP(D253,Categorias!A:B,2,0)),"",VLOOKUP(D253,Categorias!A:B,2,0))</f>
        <v>RECEITA</v>
      </c>
      <c r="F253" s="81">
        <v>30</v>
      </c>
      <c r="G253" s="5"/>
      <c r="H253" s="79">
        <f t="shared" si="3"/>
        <v>67.849999999999909</v>
      </c>
    </row>
    <row r="254" spans="2:8" ht="13.8">
      <c r="B254" s="8" t="s">
        <v>140</v>
      </c>
      <c r="C254" s="83" t="s">
        <v>152</v>
      </c>
      <c r="D254" s="1" t="s">
        <v>61</v>
      </c>
      <c r="E254" s="1" t="str">
        <f>IF(ISERROR(VLOOKUP(D254,Categorias!A:B,2,0)),"",VLOOKUP(D254,Categorias!A:B,2,0))</f>
        <v>RECEITA</v>
      </c>
      <c r="F254" s="81">
        <v>25</v>
      </c>
      <c r="G254" s="5"/>
      <c r="H254" s="79">
        <f t="shared" si="3"/>
        <v>92.849999999999909</v>
      </c>
    </row>
    <row r="255" spans="2:8" ht="13.8">
      <c r="B255" s="8" t="s">
        <v>140</v>
      </c>
      <c r="C255" s="83" t="s">
        <v>296</v>
      </c>
      <c r="D255" s="1" t="s">
        <v>61</v>
      </c>
      <c r="E255" s="1" t="str">
        <f>IF(ISERROR(VLOOKUP(D255,Categorias!A:B,2,0)),"",VLOOKUP(D255,Categorias!A:B,2,0))</f>
        <v>RECEITA</v>
      </c>
      <c r="F255" s="81">
        <v>10</v>
      </c>
      <c r="G255" s="5"/>
      <c r="H255" s="79">
        <f t="shared" si="3"/>
        <v>102.84999999999991</v>
      </c>
    </row>
    <row r="256" spans="2:8" ht="13.8">
      <c r="B256" s="8" t="s">
        <v>140</v>
      </c>
      <c r="C256" s="83" t="s">
        <v>156</v>
      </c>
      <c r="D256" s="1" t="s">
        <v>61</v>
      </c>
      <c r="E256" s="1" t="str">
        <f>IF(ISERROR(VLOOKUP(D256,Categorias!A:B,2,0)),"",VLOOKUP(D256,Categorias!A:B,2,0))</f>
        <v>RECEITA</v>
      </c>
      <c r="F256" s="81">
        <v>30</v>
      </c>
      <c r="G256" s="5"/>
      <c r="H256" s="79">
        <f t="shared" si="3"/>
        <v>132.84999999999991</v>
      </c>
    </row>
    <row r="257" spans="2:8" ht="13.8">
      <c r="B257" s="8" t="s">
        <v>140</v>
      </c>
      <c r="C257" s="83" t="s">
        <v>187</v>
      </c>
      <c r="D257" s="1" t="s">
        <v>61</v>
      </c>
      <c r="E257" s="1" t="str">
        <f>IF(ISERROR(VLOOKUP(D257,Categorias!A:B,2,0)),"",VLOOKUP(D257,Categorias!A:B,2,0))</f>
        <v>RECEITA</v>
      </c>
      <c r="F257" s="81">
        <v>229.37</v>
      </c>
      <c r="G257" s="5"/>
      <c r="H257" s="79">
        <f t="shared" si="3"/>
        <v>362.21999999999991</v>
      </c>
    </row>
    <row r="258" spans="2:8" ht="13.8">
      <c r="B258" s="8" t="s">
        <v>140</v>
      </c>
      <c r="C258" s="83" t="s">
        <v>187</v>
      </c>
      <c r="D258" s="1" t="s">
        <v>61</v>
      </c>
      <c r="E258" s="1" t="str">
        <f>IF(ISERROR(VLOOKUP(D258,Categorias!A:B,2,0)),"",VLOOKUP(D258,Categorias!A:B,2,0))</f>
        <v>RECEITA</v>
      </c>
      <c r="F258" s="81">
        <v>225.45</v>
      </c>
      <c r="G258" s="5"/>
      <c r="H258" s="79">
        <f t="shared" si="3"/>
        <v>587.66999999999985</v>
      </c>
    </row>
    <row r="259" spans="2:8" ht="13.8">
      <c r="B259" s="8" t="s">
        <v>140</v>
      </c>
      <c r="C259" s="83" t="s">
        <v>188</v>
      </c>
      <c r="D259" s="1" t="s">
        <v>61</v>
      </c>
      <c r="E259" s="1" t="str">
        <f>IF(ISERROR(VLOOKUP(D259,Categorias!A:B,2,0)),"",VLOOKUP(D259,Categorias!A:B,2,0))</f>
        <v>RECEITA</v>
      </c>
      <c r="F259" s="81">
        <v>79.819999999999993</v>
      </c>
      <c r="G259" s="5"/>
      <c r="H259" s="79">
        <f t="shared" si="3"/>
        <v>667.48999999999978</v>
      </c>
    </row>
    <row r="260" spans="2:8" ht="13.8">
      <c r="B260" s="8" t="s">
        <v>141</v>
      </c>
      <c r="C260" s="83" t="s">
        <v>177</v>
      </c>
      <c r="D260" s="1" t="s">
        <v>5</v>
      </c>
      <c r="E260" s="1" t="str">
        <f>IF(ISERROR(VLOOKUP(D260,Categorias!A:B,2,0)),"",VLOOKUP(D260,Categorias!A:B,2,0))</f>
        <v>DESPESAS FIXAS</v>
      </c>
      <c r="F260" s="81"/>
      <c r="G260" s="5">
        <v>50</v>
      </c>
      <c r="H260" s="79">
        <f t="shared" si="3"/>
        <v>617.48999999999978</v>
      </c>
    </row>
    <row r="261" spans="2:8" ht="13.8">
      <c r="B261" s="8" t="s">
        <v>141</v>
      </c>
      <c r="C261" s="97" t="s">
        <v>319</v>
      </c>
      <c r="D261" s="1" t="s">
        <v>12</v>
      </c>
      <c r="F261" s="80"/>
      <c r="G261" s="6">
        <v>550</v>
      </c>
      <c r="H261" s="79">
        <f t="shared" si="3"/>
        <v>67.489999999999782</v>
      </c>
    </row>
    <row r="262" spans="2:8" ht="13.8">
      <c r="B262" s="8" t="s">
        <v>141</v>
      </c>
      <c r="C262" s="83" t="s">
        <v>297</v>
      </c>
      <c r="D262" s="1" t="s">
        <v>41</v>
      </c>
      <c r="F262" s="80"/>
      <c r="G262" s="6">
        <v>117</v>
      </c>
      <c r="H262" s="79">
        <f t="shared" si="3"/>
        <v>-49.510000000000218</v>
      </c>
    </row>
    <row r="263" spans="2:8" ht="13.8">
      <c r="B263" s="8" t="s">
        <v>141</v>
      </c>
      <c r="C263" s="83" t="s">
        <v>298</v>
      </c>
      <c r="D263" s="1" t="s">
        <v>61</v>
      </c>
      <c r="E263" s="1" t="str">
        <f>IF(ISERROR(VLOOKUP(D263,Categorias!A:B,2,0)),"",VLOOKUP(D263,Categorias!A:B,2,0))</f>
        <v>RECEITA</v>
      </c>
      <c r="F263" s="80">
        <v>50</v>
      </c>
      <c r="G263" s="6"/>
      <c r="H263" s="60"/>
    </row>
    <row r="264" spans="2:8" ht="13.8">
      <c r="B264" s="8" t="s">
        <v>141</v>
      </c>
      <c r="C264" s="83" t="s">
        <v>199</v>
      </c>
      <c r="D264" s="1" t="s">
        <v>61</v>
      </c>
      <c r="E264" s="1" t="str">
        <f>IF(ISERROR(VLOOKUP(D264,Categorias!A:B,2,0)),"",VLOOKUP(D264,Categorias!A:B,2,0))</f>
        <v>RECEITA</v>
      </c>
      <c r="F264" s="80">
        <v>50</v>
      </c>
      <c r="G264" s="6"/>
      <c r="H264" s="60"/>
    </row>
    <row r="265" spans="2:8" ht="13.8">
      <c r="B265" s="8" t="s">
        <v>141</v>
      </c>
      <c r="C265" s="83" t="s">
        <v>243</v>
      </c>
      <c r="D265" s="1" t="s">
        <v>61</v>
      </c>
      <c r="E265" s="1" t="str">
        <f>IF(ISERROR(VLOOKUP(D265,Categorias!A:B,2,0)),"",VLOOKUP(D265,Categorias!A:B,2,0))</f>
        <v>RECEITA</v>
      </c>
      <c r="F265" s="80">
        <v>45</v>
      </c>
      <c r="G265" s="6"/>
      <c r="H265" s="60"/>
    </row>
    <row r="266" spans="2:8" ht="13.8">
      <c r="B266" s="8" t="s">
        <v>141</v>
      </c>
      <c r="C266" s="83" t="s">
        <v>299</v>
      </c>
      <c r="D266" s="1" t="s">
        <v>68</v>
      </c>
      <c r="F266" s="80"/>
      <c r="G266" s="6">
        <v>10</v>
      </c>
      <c r="H266" s="60"/>
    </row>
    <row r="267" spans="2:8" ht="13.8">
      <c r="B267" s="8" t="s">
        <v>141</v>
      </c>
      <c r="C267" s="83" t="s">
        <v>300</v>
      </c>
      <c r="D267" s="1" t="s">
        <v>61</v>
      </c>
      <c r="E267" s="1" t="str">
        <f>IF(ISERROR(VLOOKUP(D267,Categorias!A:B,2,0)),"",VLOOKUP(D267,Categorias!A:B,2,0))</f>
        <v>RECEITA</v>
      </c>
      <c r="F267" s="80">
        <v>35</v>
      </c>
      <c r="G267" s="6"/>
      <c r="H267" s="60"/>
    </row>
    <row r="268" spans="2:8" ht="13.8">
      <c r="B268" s="8" t="s">
        <v>141</v>
      </c>
      <c r="C268" s="83" t="s">
        <v>156</v>
      </c>
      <c r="D268" s="1" t="s">
        <v>61</v>
      </c>
      <c r="E268" s="1" t="str">
        <f>IF(ISERROR(VLOOKUP(D268,Categorias!A:B,2,0)),"",VLOOKUP(D268,Categorias!A:B,2,0))</f>
        <v>RECEITA</v>
      </c>
      <c r="F268" s="80">
        <v>51</v>
      </c>
      <c r="G268" s="6"/>
      <c r="H268" s="60"/>
    </row>
    <row r="269" spans="2:8" ht="13.8">
      <c r="B269" s="8" t="s">
        <v>141</v>
      </c>
      <c r="C269" s="83" t="s">
        <v>301</v>
      </c>
      <c r="D269" s="1" t="s">
        <v>61</v>
      </c>
      <c r="E269" s="1" t="str">
        <f>IF(ISERROR(VLOOKUP(D269,Categorias!A:B,2,0)),"",VLOOKUP(D269,Categorias!A:B,2,0))</f>
        <v>RECEITA</v>
      </c>
      <c r="F269" s="80">
        <v>25</v>
      </c>
      <c r="G269" s="6"/>
      <c r="H269" s="60"/>
    </row>
    <row r="270" spans="2:8" ht="13.8">
      <c r="B270" s="8" t="s">
        <v>141</v>
      </c>
      <c r="C270" s="83" t="s">
        <v>193</v>
      </c>
      <c r="D270" s="1" t="s">
        <v>61</v>
      </c>
      <c r="E270" s="1" t="str">
        <f>IF(ISERROR(VLOOKUP(D270,Categorias!A:B,2,0)),"",VLOOKUP(D270,Categorias!A:B,2,0))</f>
        <v>RECEITA</v>
      </c>
      <c r="F270" s="80">
        <v>35</v>
      </c>
      <c r="G270" s="6"/>
      <c r="H270" s="60"/>
    </row>
    <row r="271" spans="2:8" ht="13.8">
      <c r="B271" s="8" t="s">
        <v>141</v>
      </c>
      <c r="C271" s="83" t="s">
        <v>302</v>
      </c>
      <c r="D271" s="1" t="s">
        <v>61</v>
      </c>
      <c r="E271" s="1" t="str">
        <f>IF(ISERROR(VLOOKUP(D271,Categorias!A:B,2,0)),"",VLOOKUP(D271,Categorias!A:B,2,0))</f>
        <v>RECEITA</v>
      </c>
      <c r="F271" s="80">
        <v>35</v>
      </c>
      <c r="G271" s="6"/>
      <c r="H271" s="60"/>
    </row>
    <row r="272" spans="2:8" ht="13.8">
      <c r="B272" s="8" t="s">
        <v>141</v>
      </c>
      <c r="C272" s="83" t="s">
        <v>303</v>
      </c>
      <c r="D272" s="1" t="s">
        <v>61</v>
      </c>
      <c r="E272" s="1" t="str">
        <f>IF(ISERROR(VLOOKUP(D272,Categorias!A:B,2,0)),"",VLOOKUP(D272,Categorias!A:B,2,0))</f>
        <v>RECEITA</v>
      </c>
      <c r="F272" s="80">
        <v>25</v>
      </c>
      <c r="G272" s="6"/>
      <c r="H272" s="60"/>
    </row>
    <row r="273" spans="2:8" ht="13.8">
      <c r="B273" s="8" t="s">
        <v>142</v>
      </c>
      <c r="C273" s="97" t="s">
        <v>318</v>
      </c>
      <c r="D273" s="1" t="s">
        <v>62</v>
      </c>
      <c r="E273" s="1" t="str">
        <f>IF(ISERROR(VLOOKUP(D273,Categorias!A:B,2,0)),"",VLOOKUP(D273,Categorias!A:B,2,0))</f>
        <v>DESPESAS FIXAS</v>
      </c>
      <c r="F273" s="80"/>
      <c r="G273" s="6">
        <v>300</v>
      </c>
      <c r="H273" s="60"/>
    </row>
    <row r="274" spans="2:8" ht="13.8">
      <c r="B274" s="8" t="s">
        <v>142</v>
      </c>
      <c r="C274" s="83" t="s">
        <v>304</v>
      </c>
      <c r="D274" s="1" t="s">
        <v>61</v>
      </c>
      <c r="E274" s="1" t="str">
        <f>IF(ISERROR(VLOOKUP(D274,Categorias!A:B,2,0)),"",VLOOKUP(D274,Categorias!A:B,2,0))</f>
        <v>RECEITA</v>
      </c>
      <c r="F274" s="80">
        <v>25</v>
      </c>
      <c r="G274" s="6"/>
      <c r="H274" s="60"/>
    </row>
    <row r="275" spans="2:8" ht="13.8">
      <c r="B275" s="8" t="s">
        <v>142</v>
      </c>
      <c r="C275" s="83" t="s">
        <v>305</v>
      </c>
      <c r="D275" s="1" t="s">
        <v>61</v>
      </c>
      <c r="E275" s="1" t="str">
        <f>IF(ISERROR(VLOOKUP(D275,Categorias!A:B,2,0)),"",VLOOKUP(D275,Categorias!A:B,2,0))</f>
        <v>RECEITA</v>
      </c>
      <c r="F275" s="80">
        <v>25</v>
      </c>
      <c r="G275" s="6"/>
      <c r="H275" s="60"/>
    </row>
    <row r="276" spans="2:8" ht="13.8">
      <c r="B276" s="8" t="s">
        <v>142</v>
      </c>
      <c r="C276" s="83" t="s">
        <v>203</v>
      </c>
      <c r="D276" s="1" t="s">
        <v>61</v>
      </c>
      <c r="E276" s="1" t="str">
        <f>IF(ISERROR(VLOOKUP(D276,Categorias!A:B,2,0)),"",VLOOKUP(D276,Categorias!A:B,2,0))</f>
        <v>RECEITA</v>
      </c>
      <c r="F276" s="80">
        <v>25</v>
      </c>
      <c r="G276" s="6"/>
      <c r="H276" s="60"/>
    </row>
    <row r="277" spans="2:8" ht="13.8">
      <c r="B277" s="8" t="s">
        <v>142</v>
      </c>
      <c r="C277" s="83" t="s">
        <v>306</v>
      </c>
      <c r="D277" s="1" t="s">
        <v>61</v>
      </c>
      <c r="E277" s="1" t="str">
        <f>IF(ISERROR(VLOOKUP(D277,Categorias!A:B,2,0)),"",VLOOKUP(D277,Categorias!A:B,2,0))</f>
        <v>RECEITA</v>
      </c>
      <c r="F277" s="80">
        <v>25</v>
      </c>
      <c r="G277" s="6"/>
      <c r="H277" s="60"/>
    </row>
    <row r="278" spans="2:8" ht="13.8">
      <c r="B278" s="8" t="s">
        <v>142</v>
      </c>
      <c r="C278" s="83" t="s">
        <v>146</v>
      </c>
      <c r="D278" s="1" t="s">
        <v>61</v>
      </c>
      <c r="E278" s="1" t="str">
        <f>IF(ISERROR(VLOOKUP(D278,Categorias!A:B,2,0)),"",VLOOKUP(D278,Categorias!A:B,2,0))</f>
        <v>RECEITA</v>
      </c>
      <c r="F278" s="80">
        <v>25</v>
      </c>
      <c r="G278" s="6"/>
      <c r="H278" s="60"/>
    </row>
    <row r="279" spans="2:8" ht="13.8">
      <c r="B279" s="8" t="s">
        <v>142</v>
      </c>
      <c r="C279" s="83" t="s">
        <v>181</v>
      </c>
      <c r="D279" s="1" t="s">
        <v>61</v>
      </c>
      <c r="E279" s="1" t="str">
        <f>IF(ISERROR(VLOOKUP(D279,Categorias!A:B,2,0)),"",VLOOKUP(D279,Categorias!A:B,2,0))</f>
        <v>RECEITA</v>
      </c>
      <c r="F279" s="80">
        <v>31</v>
      </c>
      <c r="G279" s="6"/>
      <c r="H279" s="60"/>
    </row>
    <row r="280" spans="2:8" ht="13.8">
      <c r="B280" s="8" t="s">
        <v>142</v>
      </c>
      <c r="C280" s="83" t="s">
        <v>307</v>
      </c>
      <c r="D280" s="1" t="s">
        <v>68</v>
      </c>
      <c r="F280" s="80"/>
      <c r="G280" s="6">
        <v>50</v>
      </c>
      <c r="H280" s="60"/>
    </row>
    <row r="281" spans="2:8" ht="13.8">
      <c r="B281" s="8" t="s">
        <v>142</v>
      </c>
      <c r="C281" s="83" t="s">
        <v>199</v>
      </c>
      <c r="D281" s="1" t="s">
        <v>61</v>
      </c>
      <c r="E281" s="1" t="str">
        <f>IF(ISERROR(VLOOKUP(D281,Categorias!A:B,2,0)),"",VLOOKUP(D281,Categorias!A:B,2,0))</f>
        <v>RECEITA</v>
      </c>
      <c r="F281" s="80">
        <v>25</v>
      </c>
      <c r="G281" s="6"/>
      <c r="H281" s="60"/>
    </row>
    <row r="282" spans="2:8" ht="13.8">
      <c r="B282" s="8" t="s">
        <v>142</v>
      </c>
      <c r="C282" s="83" t="s">
        <v>308</v>
      </c>
      <c r="D282" s="1" t="s">
        <v>61</v>
      </c>
      <c r="E282" s="1" t="str">
        <f>IF(ISERROR(VLOOKUP(D282,Categorias!A:B,2,0)),"",VLOOKUP(D282,Categorias!A:B,2,0))</f>
        <v>RECEITA</v>
      </c>
      <c r="F282" s="80">
        <v>60</v>
      </c>
      <c r="G282" s="6"/>
      <c r="H282" s="60"/>
    </row>
    <row r="283" spans="2:8" ht="13.8">
      <c r="B283" s="8" t="s">
        <v>142</v>
      </c>
      <c r="C283" s="83" t="s">
        <v>219</v>
      </c>
      <c r="D283" s="1" t="s">
        <v>61</v>
      </c>
      <c r="E283" s="1" t="str">
        <f>IF(ISERROR(VLOOKUP(D283,Categorias!A:B,2,0)),"",VLOOKUP(D283,Categorias!A:B,2,0))</f>
        <v>RECEITA</v>
      </c>
      <c r="F283" s="80">
        <v>25</v>
      </c>
      <c r="G283" s="6"/>
      <c r="H283" s="60"/>
    </row>
    <row r="284" spans="2:8" ht="13.8">
      <c r="B284" s="8" t="s">
        <v>142</v>
      </c>
      <c r="C284" s="83" t="s">
        <v>290</v>
      </c>
      <c r="D284" s="1" t="s">
        <v>61</v>
      </c>
      <c r="E284" s="1" t="str">
        <f>IF(ISERROR(VLOOKUP(D284,Categorias!A:B,2,0)),"",VLOOKUP(D284,Categorias!A:B,2,0))</f>
        <v>RECEITA</v>
      </c>
      <c r="F284" s="80">
        <v>55</v>
      </c>
      <c r="G284" s="6"/>
      <c r="H284" s="60"/>
    </row>
    <row r="285" spans="2:8" ht="13.8">
      <c r="B285" s="8" t="s">
        <v>142</v>
      </c>
      <c r="C285" s="83" t="s">
        <v>309</v>
      </c>
      <c r="D285" s="1" t="s">
        <v>61</v>
      </c>
      <c r="E285" s="1" t="str">
        <f>IF(ISERROR(VLOOKUP(D285,Categorias!A:B,2,0)),"",VLOOKUP(D285,Categorias!A:B,2,0))</f>
        <v>RECEITA</v>
      </c>
      <c r="F285" s="80">
        <v>25</v>
      </c>
      <c r="G285" s="6"/>
      <c r="H285" s="60"/>
    </row>
    <row r="286" spans="2:8" ht="13.8">
      <c r="B286" s="8" t="s">
        <v>142</v>
      </c>
      <c r="C286" s="83" t="s">
        <v>302</v>
      </c>
      <c r="D286" s="1" t="s">
        <v>61</v>
      </c>
      <c r="E286" s="1" t="str">
        <f>IF(ISERROR(VLOOKUP(D286,Categorias!A:B,2,0)),"",VLOOKUP(D286,Categorias!A:B,2,0))</f>
        <v>RECEITA</v>
      </c>
      <c r="F286" s="80">
        <v>7</v>
      </c>
      <c r="G286" s="6"/>
      <c r="H286" s="60"/>
    </row>
    <row r="287" spans="2:8" ht="13.8">
      <c r="B287" s="8" t="s">
        <v>142</v>
      </c>
      <c r="C287" s="83" t="s">
        <v>177</v>
      </c>
      <c r="D287" s="1" t="s">
        <v>5</v>
      </c>
      <c r="E287" s="1" t="str">
        <f>IF(ISERROR(VLOOKUP(D287,Categorias!A:B,2,0)),"",VLOOKUP(D287,Categorias!A:B,2,0))</f>
        <v>DESPESAS FIXAS</v>
      </c>
      <c r="F287" s="80"/>
      <c r="G287" s="6">
        <v>40</v>
      </c>
      <c r="H287" s="60"/>
    </row>
    <row r="288" spans="2:8" ht="13.8">
      <c r="B288" s="8" t="s">
        <v>142</v>
      </c>
      <c r="C288" s="83" t="s">
        <v>310</v>
      </c>
      <c r="D288" s="1" t="s">
        <v>61</v>
      </c>
      <c r="E288" s="1" t="str">
        <f>IF(ISERROR(VLOOKUP(D288,Categorias!A:B,2,0)),"",VLOOKUP(D288,Categorias!A:B,2,0))</f>
        <v>RECEITA</v>
      </c>
      <c r="F288" s="80">
        <v>55</v>
      </c>
      <c r="G288" s="6"/>
      <c r="H288" s="60"/>
    </row>
    <row r="289" spans="2:8" ht="13.8">
      <c r="B289" s="8" t="s">
        <v>142</v>
      </c>
      <c r="C289" s="83" t="s">
        <v>302</v>
      </c>
      <c r="D289" s="1" t="s">
        <v>61</v>
      </c>
      <c r="E289" s="1" t="str">
        <f>IF(ISERROR(VLOOKUP(D289,Categorias!A:B,2,0)),"",VLOOKUP(D289,Categorias!A:B,2,0))</f>
        <v>RECEITA</v>
      </c>
      <c r="F289" s="80">
        <v>30</v>
      </c>
      <c r="G289" s="6"/>
      <c r="H289" s="60"/>
    </row>
    <row r="290" spans="2:8" ht="13.8">
      <c r="B290" s="8" t="s">
        <v>142</v>
      </c>
      <c r="C290" s="83" t="s">
        <v>311</v>
      </c>
      <c r="D290" s="1" t="s">
        <v>61</v>
      </c>
      <c r="E290" s="1" t="str">
        <f>IF(ISERROR(VLOOKUP(D290,Categorias!A:B,2,0)),"",VLOOKUP(D290,Categorias!A:B,2,0))</f>
        <v>RECEITA</v>
      </c>
      <c r="F290" s="80">
        <v>25</v>
      </c>
      <c r="G290" s="6"/>
      <c r="H290" s="60"/>
    </row>
    <row r="291" spans="2:8" ht="13.8">
      <c r="B291" s="8" t="s">
        <v>142</v>
      </c>
      <c r="C291" s="83" t="s">
        <v>312</v>
      </c>
      <c r="D291" s="1" t="s">
        <v>61</v>
      </c>
      <c r="E291" s="1" t="str">
        <f>IF(ISERROR(VLOOKUP(D291,Categorias!A:B,2,0)),"",VLOOKUP(D291,Categorias!A:B,2,0))</f>
        <v>RECEITA</v>
      </c>
      <c r="F291" s="80">
        <v>10</v>
      </c>
      <c r="G291" s="6"/>
      <c r="H291" s="60"/>
    </row>
    <row r="292" spans="2:8" ht="13.8">
      <c r="B292" s="8" t="s">
        <v>142</v>
      </c>
      <c r="C292" s="83" t="s">
        <v>312</v>
      </c>
      <c r="D292" s="1" t="s">
        <v>61</v>
      </c>
      <c r="E292" s="1" t="str">
        <f>IF(ISERROR(VLOOKUP(D292,Categorias!A:B,2,0)),"",VLOOKUP(D292,Categorias!A:B,2,0))</f>
        <v>RECEITA</v>
      </c>
      <c r="F292" s="80">
        <v>50</v>
      </c>
      <c r="G292" s="6"/>
      <c r="H292" s="60"/>
    </row>
    <row r="293" spans="2:8" ht="13.8">
      <c r="B293" s="8" t="s">
        <v>142</v>
      </c>
      <c r="C293" s="83" t="s">
        <v>313</v>
      </c>
      <c r="D293" s="1" t="s">
        <v>61</v>
      </c>
      <c r="E293" s="1" t="str">
        <f>IF(ISERROR(VLOOKUP(D293,Categorias!A:B,2,0)),"",VLOOKUP(D293,Categorias!A:B,2,0))</f>
        <v>RECEITA</v>
      </c>
      <c r="F293" s="80">
        <v>25</v>
      </c>
      <c r="G293" s="6"/>
      <c r="H293" s="60"/>
    </row>
    <row r="294" spans="2:8" ht="13.8">
      <c r="B294" s="8" t="s">
        <v>142</v>
      </c>
      <c r="C294" s="83" t="s">
        <v>214</v>
      </c>
      <c r="D294" s="1" t="s">
        <v>61</v>
      </c>
      <c r="E294" s="1" t="str">
        <f>IF(ISERROR(VLOOKUP(D294,Categorias!A:B,2,0)),"",VLOOKUP(D294,Categorias!A:B,2,0))</f>
        <v>RECEITA</v>
      </c>
      <c r="F294" s="80">
        <v>25</v>
      </c>
      <c r="G294" s="6"/>
      <c r="H294" s="60"/>
    </row>
    <row r="295" spans="2:8" ht="13.8">
      <c r="B295" s="8" t="s">
        <v>142</v>
      </c>
      <c r="C295" s="83" t="s">
        <v>197</v>
      </c>
      <c r="D295" s="1" t="s">
        <v>61</v>
      </c>
      <c r="E295" s="1" t="str">
        <f>IF(ISERROR(VLOOKUP(D295,Categorias!A:B,2,0)),"",VLOOKUP(D295,Categorias!A:B,2,0))</f>
        <v>RECEITA</v>
      </c>
      <c r="F295" s="80">
        <v>25</v>
      </c>
      <c r="G295" s="6"/>
      <c r="H295" s="60"/>
    </row>
    <row r="296" spans="2:8" ht="13.8">
      <c r="B296" s="8" t="s">
        <v>142</v>
      </c>
      <c r="C296" s="97" t="s">
        <v>320</v>
      </c>
      <c r="D296" s="1" t="s">
        <v>61</v>
      </c>
      <c r="E296" s="1" t="str">
        <f>IF(ISERROR(VLOOKUP(D296,Categorias!A:B,2,0)),"",VLOOKUP(D296,Categorias!A:B,2,0))</f>
        <v>RECEITA</v>
      </c>
      <c r="F296" s="80">
        <v>329.64</v>
      </c>
      <c r="G296" s="6"/>
      <c r="H296" s="60"/>
    </row>
    <row r="297" spans="2:8" ht="13.8">
      <c r="F297" s="81"/>
      <c r="G297" s="6"/>
      <c r="H297" s="60"/>
    </row>
    <row r="298" spans="2:8" ht="13.8">
      <c r="F298" s="81"/>
      <c r="G298" s="6"/>
      <c r="H298" s="60"/>
    </row>
    <row r="299" spans="2:8" ht="13.8">
      <c r="F299" s="81"/>
      <c r="G299" s="6"/>
      <c r="H299" s="60"/>
    </row>
    <row r="300" spans="2:8" ht="13.8">
      <c r="F300" s="81"/>
      <c r="G300" s="6"/>
      <c r="H300" s="60"/>
    </row>
    <row r="301" spans="2:8" ht="13.8">
      <c r="F301" s="81"/>
      <c r="G301" s="6"/>
      <c r="H301" s="60"/>
    </row>
    <row r="302" spans="2:8" ht="13.8">
      <c r="F302" s="81"/>
      <c r="G302" s="6"/>
      <c r="H302" s="60"/>
    </row>
    <row r="303" spans="2:8" ht="13.8">
      <c r="F303" s="81"/>
      <c r="G303" s="6"/>
      <c r="H303" s="60"/>
    </row>
    <row r="304" spans="2:8" ht="13.8">
      <c r="F304" s="81"/>
      <c r="G304" s="6"/>
      <c r="H304" s="60"/>
    </row>
    <row r="305" spans="6:8" ht="13.8">
      <c r="F305" s="81"/>
      <c r="G305" s="6"/>
      <c r="H305" s="60"/>
    </row>
    <row r="306" spans="6:8" ht="13.8">
      <c r="F306" s="81"/>
      <c r="G306" s="6"/>
      <c r="H306" s="60"/>
    </row>
    <row r="307" spans="6:8" ht="13.8">
      <c r="F307" s="81"/>
      <c r="G307" s="6"/>
      <c r="H307" s="60"/>
    </row>
    <row r="308" spans="6:8" ht="13.8">
      <c r="F308" s="81"/>
      <c r="G308" s="6"/>
      <c r="H308" s="60"/>
    </row>
    <row r="309" spans="6:8" ht="13.8">
      <c r="F309" s="81"/>
      <c r="G309" s="6"/>
      <c r="H309" s="60"/>
    </row>
    <row r="310" spans="6:8" ht="13.8">
      <c r="F310" s="81"/>
      <c r="G310" s="6"/>
      <c r="H310" s="60"/>
    </row>
    <row r="311" spans="6:8" ht="13.8">
      <c r="F311" s="81"/>
      <c r="G311" s="6"/>
      <c r="H311" s="60"/>
    </row>
    <row r="312" spans="6:8" ht="13.8">
      <c r="F312" s="81"/>
      <c r="G312" s="6"/>
      <c r="H312" s="60"/>
    </row>
    <row r="313" spans="6:8" ht="13.8">
      <c r="F313" s="81"/>
      <c r="G313" s="6"/>
      <c r="H313" s="60"/>
    </row>
    <row r="314" spans="6:8" ht="13.8">
      <c r="F314" s="81"/>
      <c r="G314" s="6"/>
      <c r="H314" s="60"/>
    </row>
    <row r="315" spans="6:8" ht="13.8">
      <c r="F315" s="81"/>
      <c r="G315" s="6"/>
      <c r="H315" s="60"/>
    </row>
    <row r="316" spans="6:8" ht="13.8">
      <c r="F316" s="81"/>
      <c r="G316" s="6"/>
      <c r="H316" s="60"/>
    </row>
    <row r="317" spans="6:8" ht="13.8">
      <c r="F317" s="81"/>
      <c r="G317" s="6"/>
      <c r="H317" s="60"/>
    </row>
    <row r="318" spans="6:8" ht="13.8">
      <c r="F318" s="81"/>
      <c r="G318" s="6"/>
      <c r="H318" s="60"/>
    </row>
    <row r="319" spans="6:8" ht="13.8">
      <c r="F319" s="81"/>
      <c r="G319" s="6"/>
      <c r="H319" s="60"/>
    </row>
    <row r="320" spans="6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  <row r="455" spans="6:8" ht="13.8">
      <c r="F455" s="81"/>
      <c r="G455" s="6"/>
      <c r="H455" s="60"/>
    </row>
    <row r="456" spans="6:8" ht="13.8">
      <c r="F456" s="81"/>
      <c r="G456" s="6"/>
      <c r="H456" s="60"/>
    </row>
    <row r="457" spans="6:8" ht="13.8">
      <c r="F457" s="81"/>
      <c r="G457" s="6"/>
      <c r="H457" s="60"/>
    </row>
    <row r="458" spans="6:8" ht="13.8">
      <c r="F458" s="81"/>
      <c r="G458" s="6"/>
      <c r="H458" s="60"/>
    </row>
    <row r="459" spans="6:8" ht="13.8">
      <c r="F459" s="81"/>
      <c r="G459" s="6"/>
      <c r="H459" s="60"/>
    </row>
    <row r="460" spans="6:8" ht="13.8">
      <c r="F460" s="81"/>
      <c r="G460" s="6"/>
      <c r="H460" s="60"/>
    </row>
    <row r="461" spans="6:8" ht="13.2"/>
    <row r="462" spans="6:8" ht="13.2"/>
    <row r="463" spans="6:8" ht="13.2"/>
    <row r="464" spans="6:8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  <row r="1001" ht="13.2"/>
    <row r="1002" ht="13.2"/>
    <row r="1003" ht="13.2"/>
  </sheetData>
  <mergeCells count="12">
    <mergeCell ref="B2:H5"/>
    <mergeCell ref="B7:D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DAB1-36DE-4FCC-B3A2-66AD406B7D26}">
          <x14:formula1>
            <xm:f>Categorias!$A:$A</xm:f>
          </x14:formula1>
          <xm:sqref>D13:D296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A837-2E8D-416E-ABCF-2CF454693D96}">
  <dimension ref="A1:H1004"/>
  <sheetViews>
    <sheetView showGridLines="0" tabSelected="1" zoomScaleNormal="100" workbookViewId="0">
      <selection activeCell="H135" sqref="H135"/>
    </sheetView>
  </sheetViews>
  <sheetFormatPr defaultColWidth="12.6640625" defaultRowHeight="15" customHeight="1"/>
  <cols>
    <col min="1" max="1" width="5.33203125" style="77" customWidth="1"/>
    <col min="2" max="2" width="13" style="153" bestFit="1" customWidth="1"/>
    <col min="3" max="3" width="50.5546875" style="7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8" s="8" customFormat="1" ht="4.5" customHeight="1">
      <c r="B1" s="153"/>
      <c r="C1" s="83"/>
      <c r="F1" s="85"/>
      <c r="G1" s="63"/>
    </row>
    <row r="2" spans="1:8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8" ht="12.75" customHeight="1">
      <c r="B3" s="137"/>
      <c r="C3" s="138"/>
      <c r="D3" s="138"/>
      <c r="E3" s="138"/>
      <c r="F3" s="138"/>
      <c r="G3" s="138"/>
      <c r="H3" s="138"/>
    </row>
    <row r="4" spans="1:8" ht="12.75" customHeight="1">
      <c r="B4" s="137"/>
      <c r="C4" s="138"/>
      <c r="D4" s="138"/>
      <c r="E4" s="138"/>
      <c r="F4" s="138"/>
      <c r="G4" s="138"/>
      <c r="H4" s="138"/>
    </row>
    <row r="5" spans="1:8" ht="12.75" customHeight="1">
      <c r="B5" s="139"/>
      <c r="C5" s="140"/>
      <c r="D5" s="140"/>
      <c r="E5" s="140"/>
      <c r="F5" s="140"/>
      <c r="G5" s="140"/>
      <c r="H5" s="140"/>
    </row>
    <row r="6" spans="1:8" s="8" customFormat="1" ht="3.75" customHeight="1">
      <c r="B6" s="153"/>
      <c r="C6" s="83"/>
      <c r="F6" s="85"/>
      <c r="G6" s="63"/>
    </row>
    <row r="7" spans="1:8" ht="21">
      <c r="A7" s="61"/>
      <c r="B7" s="149" t="s">
        <v>95</v>
      </c>
      <c r="C7" s="150"/>
      <c r="D7" s="150"/>
      <c r="E7" s="71"/>
      <c r="F7" s="71"/>
      <c r="G7" s="135">
        <f>D8+D9+D10+G8+G9+G10</f>
        <v>952.71</v>
      </c>
      <c r="H7" s="136"/>
    </row>
    <row r="8" spans="1:8" ht="15.6">
      <c r="A8" s="61"/>
      <c r="B8" s="148" t="s">
        <v>90</v>
      </c>
      <c r="C8" s="148"/>
      <c r="D8" s="65">
        <v>952.71</v>
      </c>
      <c r="E8" s="147" t="s">
        <v>93</v>
      </c>
      <c r="F8" s="148"/>
      <c r="G8" s="141"/>
      <c r="H8" s="142"/>
    </row>
    <row r="9" spans="1:8" ht="15.6">
      <c r="A9" s="61"/>
      <c r="B9" s="146" t="s">
        <v>91</v>
      </c>
      <c r="C9" s="146"/>
      <c r="D9" s="64"/>
      <c r="E9" s="145" t="s">
        <v>94</v>
      </c>
      <c r="F9" s="146"/>
      <c r="G9" s="143"/>
      <c r="H9" s="144"/>
    </row>
    <row r="10" spans="1:8" s="8" customFormat="1" ht="15.6">
      <c r="A10" s="61"/>
      <c r="B10" s="148" t="s">
        <v>92</v>
      </c>
      <c r="C10" s="148"/>
      <c r="D10" s="65"/>
      <c r="E10" s="145" t="s">
        <v>96</v>
      </c>
      <c r="F10" s="146"/>
      <c r="G10" s="141"/>
      <c r="H10" s="142"/>
    </row>
    <row r="11" spans="1:8" s="8" customFormat="1" ht="4.5" customHeight="1">
      <c r="B11" s="153"/>
      <c r="C11" s="83"/>
      <c r="F11" s="84"/>
      <c r="G11" s="84"/>
    </row>
    <row r="12" spans="1:8" ht="18">
      <c r="B12" s="154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8" ht="13.8">
      <c r="B13" s="99">
        <v>46174</v>
      </c>
      <c r="C13" s="96" t="s">
        <v>393</v>
      </c>
      <c r="D13" s="1" t="s">
        <v>61</v>
      </c>
      <c r="E13" s="62" t="str">
        <f>IF(ISERROR(VLOOKUP(D13,Categorias!A:B,2,0)),"",VLOOKUP(D13,Categorias!A:B,2,0))</f>
        <v>RECEITA</v>
      </c>
      <c r="F13" s="80">
        <v>74.12</v>
      </c>
      <c r="G13" s="5"/>
      <c r="H13" s="78">
        <f>G7+F13-G13</f>
        <v>1026.83</v>
      </c>
    </row>
    <row r="14" spans="1:8" ht="13.8">
      <c r="B14" s="99" t="s">
        <v>322</v>
      </c>
      <c r="C14" s="96" t="s">
        <v>323</v>
      </c>
      <c r="D14" s="1" t="s">
        <v>61</v>
      </c>
      <c r="E14" s="62" t="str">
        <f>IF(ISERROR(VLOOKUP(D14,Categorias!A:B,2,0)),"",VLOOKUP(D14,Categorias!A:B,2,0))</f>
        <v>RECEITA</v>
      </c>
      <c r="F14" s="81"/>
      <c r="G14" s="5"/>
      <c r="H14" s="78"/>
    </row>
    <row r="15" spans="1:8" ht="9.75" customHeight="1">
      <c r="B15" s="99" t="s">
        <v>322</v>
      </c>
      <c r="C15" s="96" t="s">
        <v>324</v>
      </c>
      <c r="D15" s="1" t="s">
        <v>61</v>
      </c>
      <c r="E15" s="1" t="str">
        <f>IF(ISERROR(VLOOKUP(D15,Categorias!A:B,2,0)),"",VLOOKUP(D15,Categorias!A:B,2,0))</f>
        <v>RECEITA</v>
      </c>
      <c r="F15" s="81">
        <v>50</v>
      </c>
      <c r="G15" s="5"/>
      <c r="H15" s="79">
        <f>H13+F15-G15</f>
        <v>1076.83</v>
      </c>
    </row>
    <row r="16" spans="1:8" ht="13.8">
      <c r="B16" s="99" t="s">
        <v>322</v>
      </c>
      <c r="C16" s="96" t="s">
        <v>325</v>
      </c>
      <c r="D16" s="1" t="s">
        <v>61</v>
      </c>
      <c r="E16" s="1" t="str">
        <f>IF(ISERROR(VLOOKUP(D16,Categorias!A:B,2,0)),"",VLOOKUP(D16,Categorias!A:B,2,0))</f>
        <v>RECEITA</v>
      </c>
      <c r="F16" s="81">
        <v>50</v>
      </c>
      <c r="G16" s="5"/>
      <c r="H16" s="79">
        <f t="shared" ref="H16:H78" si="0">H15+F16-G16</f>
        <v>1126.83</v>
      </c>
    </row>
    <row r="17" spans="2:8" ht="13.8">
      <c r="B17" s="99" t="s">
        <v>322</v>
      </c>
      <c r="C17" s="96" t="s">
        <v>326</v>
      </c>
      <c r="D17" s="1" t="s">
        <v>61</v>
      </c>
      <c r="E17" s="1" t="str">
        <f>IF(ISERROR(VLOOKUP(D17,Categorias!A:B,2,0)),"",VLOOKUP(D17,Categorias!A:B,2,0))</f>
        <v>RECEITA</v>
      </c>
      <c r="F17" s="81">
        <v>30</v>
      </c>
      <c r="G17" s="5"/>
      <c r="H17" s="79">
        <f t="shared" si="0"/>
        <v>1156.83</v>
      </c>
    </row>
    <row r="18" spans="2:8" ht="13.8">
      <c r="B18" s="99" t="s">
        <v>322</v>
      </c>
      <c r="C18" s="96" t="s">
        <v>327</v>
      </c>
      <c r="D18" s="1" t="s">
        <v>61</v>
      </c>
      <c r="E18" s="1" t="str">
        <f>IF(ISERROR(VLOOKUP(D18,Categorias!A:B,2,0)),"",VLOOKUP(D18,Categorias!A:B,2,0))</f>
        <v>RECEITA</v>
      </c>
      <c r="F18" s="81">
        <v>25</v>
      </c>
      <c r="G18" s="5"/>
      <c r="H18" s="79">
        <f t="shared" si="0"/>
        <v>1181.83</v>
      </c>
    </row>
    <row r="19" spans="2:8" ht="13.8">
      <c r="B19" s="99" t="s">
        <v>322</v>
      </c>
      <c r="C19" s="96" t="s">
        <v>328</v>
      </c>
      <c r="D19" s="1" t="s">
        <v>61</v>
      </c>
      <c r="E19" s="1" t="str">
        <f>IF(ISERROR(VLOOKUP(D19,Categorias!A:B,2,0)),"",VLOOKUP(D19,Categorias!A:B,2,0))</f>
        <v>RECEITA</v>
      </c>
      <c r="F19" s="81">
        <v>58</v>
      </c>
      <c r="G19" s="5"/>
      <c r="H19" s="79">
        <f t="shared" si="0"/>
        <v>1239.83</v>
      </c>
    </row>
    <row r="20" spans="2:8" ht="13.8">
      <c r="B20" s="99" t="s">
        <v>322</v>
      </c>
      <c r="C20" s="96" t="s">
        <v>329</v>
      </c>
      <c r="D20" s="1" t="s">
        <v>61</v>
      </c>
      <c r="E20" s="1" t="str">
        <f>IF(ISERROR(VLOOKUP(D20,Categorias!A:B,2,0)),"",VLOOKUP(D20,Categorias!A:B,2,0))</f>
        <v>RECEITA</v>
      </c>
      <c r="F20" s="81">
        <v>25</v>
      </c>
      <c r="G20" s="5"/>
      <c r="H20" s="79">
        <f t="shared" si="0"/>
        <v>1264.83</v>
      </c>
    </row>
    <row r="21" spans="2:8" ht="13.8">
      <c r="B21" s="99" t="s">
        <v>322</v>
      </c>
      <c r="C21" s="96" t="s">
        <v>330</v>
      </c>
      <c r="D21" s="1" t="s">
        <v>61</v>
      </c>
      <c r="E21" s="1" t="str">
        <f>IF(ISERROR(VLOOKUP(D21,Categorias!A:B,2,0)),"",VLOOKUP(D21,Categorias!A:B,2,0))</f>
        <v>RECEITA</v>
      </c>
      <c r="F21" s="81">
        <v>25</v>
      </c>
      <c r="G21" s="5"/>
      <c r="H21" s="79">
        <f t="shared" si="0"/>
        <v>1289.83</v>
      </c>
    </row>
    <row r="22" spans="2:8" ht="13.8">
      <c r="B22" s="99" t="s">
        <v>322</v>
      </c>
      <c r="C22" s="96" t="s">
        <v>331</v>
      </c>
      <c r="D22" s="1" t="s">
        <v>61</v>
      </c>
      <c r="E22" s="1" t="str">
        <f>IF(ISERROR(VLOOKUP(D22,Categorias!A:B,2,0)),"",VLOOKUP(D22,Categorias!A:B,2,0))</f>
        <v>RECEITA</v>
      </c>
      <c r="F22" s="81">
        <v>50</v>
      </c>
      <c r="G22" s="5"/>
      <c r="H22" s="79">
        <f t="shared" si="0"/>
        <v>1339.83</v>
      </c>
    </row>
    <row r="23" spans="2:8" ht="13.8">
      <c r="B23" s="99" t="s">
        <v>322</v>
      </c>
      <c r="C23" s="96" t="s">
        <v>332</v>
      </c>
      <c r="D23" s="1" t="s">
        <v>61</v>
      </c>
      <c r="E23" s="1" t="str">
        <f>IF(ISERROR(VLOOKUP(D23,Categorias!A:B,2,0)),"",VLOOKUP(D23,Categorias!A:B,2,0))</f>
        <v>RECEITA</v>
      </c>
      <c r="F23" s="81">
        <v>29.46</v>
      </c>
      <c r="G23" s="5"/>
      <c r="H23" s="79">
        <f t="shared" si="0"/>
        <v>1369.29</v>
      </c>
    </row>
    <row r="24" spans="2:8" ht="13.8">
      <c r="B24" s="99" t="s">
        <v>333</v>
      </c>
      <c r="C24" s="96" t="s">
        <v>334</v>
      </c>
      <c r="D24" s="1" t="s">
        <v>61</v>
      </c>
      <c r="E24" s="1" t="str">
        <f>IF(ISERROR(VLOOKUP(D24,Categorias!A:B,2,0)),"",VLOOKUP(D24,Categorias!A:B,2,0))</f>
        <v>RECEITA</v>
      </c>
      <c r="F24" s="81">
        <v>30</v>
      </c>
      <c r="G24" s="5"/>
      <c r="H24" s="79">
        <f t="shared" si="0"/>
        <v>1399.29</v>
      </c>
    </row>
    <row r="25" spans="2:8" ht="13.8">
      <c r="B25" s="99" t="s">
        <v>333</v>
      </c>
      <c r="C25" s="96" t="s">
        <v>335</v>
      </c>
      <c r="D25" s="1" t="s">
        <v>61</v>
      </c>
      <c r="E25" s="1" t="str">
        <f>IF(ISERROR(VLOOKUP(D25,Categorias!A:B,2,0)),"",VLOOKUP(D25,Categorias!A:B,2,0))</f>
        <v>RECEITA</v>
      </c>
      <c r="F25" s="81">
        <v>24.26</v>
      </c>
      <c r="G25" s="5"/>
      <c r="H25" s="79">
        <f t="shared" si="0"/>
        <v>1423.55</v>
      </c>
    </row>
    <row r="26" spans="2:8" ht="13.8">
      <c r="B26" s="99" t="s">
        <v>336</v>
      </c>
      <c r="C26" s="96" t="s">
        <v>337</v>
      </c>
      <c r="D26" s="1" t="s">
        <v>61</v>
      </c>
      <c r="E26" s="1" t="str">
        <f>IF(ISERROR(VLOOKUP(D26,Categorias!A:B,2,0)),"",VLOOKUP(D26,Categorias!A:B,2,0))</f>
        <v>RECEITA</v>
      </c>
      <c r="F26" s="81">
        <v>25</v>
      </c>
      <c r="G26" s="5"/>
      <c r="H26" s="79">
        <f t="shared" si="0"/>
        <v>1448.55</v>
      </c>
    </row>
    <row r="27" spans="2:8" ht="13.8">
      <c r="B27" s="99" t="s">
        <v>336</v>
      </c>
      <c r="C27" s="96" t="s">
        <v>338</v>
      </c>
      <c r="D27" s="1" t="s">
        <v>61</v>
      </c>
      <c r="E27" s="1" t="str">
        <f>IF(ISERROR(VLOOKUP(D27,Categorias!A:B,2,0)),"",VLOOKUP(D27,Categorias!A:B,2,0))</f>
        <v>RECEITA</v>
      </c>
      <c r="F27" s="81">
        <v>25</v>
      </c>
      <c r="G27" s="5"/>
      <c r="H27" s="79">
        <f t="shared" si="0"/>
        <v>1473.55</v>
      </c>
    </row>
    <row r="28" spans="2:8" ht="13.8">
      <c r="B28" s="99" t="s">
        <v>336</v>
      </c>
      <c r="C28" s="96" t="s">
        <v>339</v>
      </c>
      <c r="D28" s="1" t="s">
        <v>61</v>
      </c>
      <c r="E28" s="1" t="str">
        <f>IF(ISERROR(VLOOKUP(D28,Categorias!A:B,2,0)),"",VLOOKUP(D28,Categorias!A:B,2,0))</f>
        <v>RECEITA</v>
      </c>
      <c r="F28" s="81">
        <v>64</v>
      </c>
      <c r="G28" s="5"/>
      <c r="H28" s="79">
        <f t="shared" si="0"/>
        <v>1537.55</v>
      </c>
    </row>
    <row r="29" spans="2:8" ht="13.8">
      <c r="B29" s="99" t="s">
        <v>336</v>
      </c>
      <c r="C29" s="96" t="s">
        <v>340</v>
      </c>
      <c r="D29" s="1" t="s">
        <v>61</v>
      </c>
      <c r="E29" s="1" t="str">
        <f>IF(ISERROR(VLOOKUP(D29,Categorias!A:B,2,0)),"",VLOOKUP(D29,Categorias!A:B,2,0))</f>
        <v>RECEITA</v>
      </c>
      <c r="F29" s="81">
        <v>25</v>
      </c>
      <c r="G29" s="5"/>
      <c r="H29" s="79">
        <f t="shared" si="0"/>
        <v>1562.55</v>
      </c>
    </row>
    <row r="30" spans="2:8" ht="13.8">
      <c r="B30" s="99" t="s">
        <v>336</v>
      </c>
      <c r="C30" s="96" t="s">
        <v>341</v>
      </c>
      <c r="D30" s="1" t="s">
        <v>61</v>
      </c>
      <c r="E30" s="1" t="str">
        <f>IF(ISERROR(VLOOKUP(D30,Categorias!A:B,2,0)),"",VLOOKUP(D30,Categorias!A:B,2,0))</f>
        <v>RECEITA</v>
      </c>
      <c r="F30" s="81">
        <v>25</v>
      </c>
      <c r="G30" s="5"/>
      <c r="H30" s="79">
        <f t="shared" si="0"/>
        <v>1587.55</v>
      </c>
    </row>
    <row r="31" spans="2:8" ht="13.8">
      <c r="B31" s="155" t="s">
        <v>336</v>
      </c>
      <c r="C31" s="96" t="s">
        <v>342</v>
      </c>
      <c r="D31" s="1" t="s">
        <v>61</v>
      </c>
      <c r="E31" s="1" t="str">
        <f>IF(ISERROR(VLOOKUP(D31,Categorias!A:B,2,0)),"",VLOOKUP(D31,Categorias!A:B,2,0))</f>
        <v>RECEITA</v>
      </c>
      <c r="F31" s="81">
        <v>25</v>
      </c>
      <c r="G31" s="5"/>
      <c r="H31" s="79">
        <f t="shared" si="0"/>
        <v>1612.55</v>
      </c>
    </row>
    <row r="32" spans="2:8" ht="13.8">
      <c r="B32" s="155" t="s">
        <v>336</v>
      </c>
      <c r="C32" s="96" t="s">
        <v>343</v>
      </c>
      <c r="D32" s="1" t="s">
        <v>61</v>
      </c>
      <c r="E32" s="1" t="str">
        <f>IF(ISERROR(VLOOKUP(D32,Categorias!A:B,2,0)),"",VLOOKUP(D32,Categorias!A:B,2,0))</f>
        <v>RECEITA</v>
      </c>
      <c r="F32" s="81">
        <v>25</v>
      </c>
      <c r="G32" s="5"/>
      <c r="H32" s="73">
        <f t="shared" si="0"/>
        <v>1637.55</v>
      </c>
    </row>
    <row r="33" spans="2:8" ht="13.8">
      <c r="B33" s="155" t="s">
        <v>336</v>
      </c>
      <c r="C33" s="97" t="s">
        <v>344</v>
      </c>
      <c r="D33" s="1" t="s">
        <v>61</v>
      </c>
      <c r="E33" s="1" t="str">
        <f>IF(ISERROR(VLOOKUP(D33,Categorias!A:B,2,0)),"",VLOOKUP(D33,Categorias!A:B,2,0))</f>
        <v>RECEITA</v>
      </c>
      <c r="F33" s="81">
        <v>25</v>
      </c>
      <c r="G33" s="5"/>
      <c r="H33" s="73">
        <f t="shared" si="0"/>
        <v>1662.55</v>
      </c>
    </row>
    <row r="34" spans="2:8" ht="13.8">
      <c r="B34" s="155" t="s">
        <v>336</v>
      </c>
      <c r="C34" s="97" t="s">
        <v>345</v>
      </c>
      <c r="D34" s="1" t="s">
        <v>61</v>
      </c>
      <c r="E34" s="1" t="str">
        <f>IF(ISERROR(VLOOKUP(D34,Categorias!A:B,2,0)),"",VLOOKUP(D34,Categorias!A:B,2,0))</f>
        <v>RECEITA</v>
      </c>
      <c r="F34" s="81">
        <v>34.31</v>
      </c>
      <c r="G34" s="5"/>
      <c r="H34" s="73">
        <f t="shared" si="0"/>
        <v>1696.86</v>
      </c>
    </row>
    <row r="35" spans="2:8" ht="13.8">
      <c r="B35" s="155" t="s">
        <v>346</v>
      </c>
      <c r="C35" s="97" t="s">
        <v>347</v>
      </c>
      <c r="D35" s="1" t="s">
        <v>61</v>
      </c>
      <c r="E35" s="1" t="str">
        <f>IF(ISERROR(VLOOKUP(D35,Categorias!A:B,2,0)),"",VLOOKUP(D35,Categorias!A:B,2,0))</f>
        <v>RECEITA</v>
      </c>
      <c r="F35" s="81">
        <v>50</v>
      </c>
      <c r="G35" s="5"/>
      <c r="H35" s="73">
        <f t="shared" si="0"/>
        <v>1746.86</v>
      </c>
    </row>
    <row r="36" spans="2:8" ht="13.8">
      <c r="B36" s="155" t="s">
        <v>346</v>
      </c>
      <c r="C36" s="97" t="s">
        <v>348</v>
      </c>
      <c r="D36" s="1" t="s">
        <v>61</v>
      </c>
      <c r="E36" s="1" t="str">
        <f>IF(ISERROR(VLOOKUP(D36,Categorias!A:B,2,0)),"",VLOOKUP(D36,Categorias!A:B,2,0))</f>
        <v>RECEITA</v>
      </c>
      <c r="F36" s="81">
        <v>25</v>
      </c>
      <c r="G36" s="5"/>
      <c r="H36" s="73">
        <f t="shared" si="0"/>
        <v>1771.86</v>
      </c>
    </row>
    <row r="37" spans="2:8" ht="13.8">
      <c r="B37" s="155" t="s">
        <v>346</v>
      </c>
      <c r="C37" s="97" t="s">
        <v>349</v>
      </c>
      <c r="D37" s="1" t="s">
        <v>61</v>
      </c>
      <c r="E37" s="1" t="str">
        <f>IF(ISERROR(VLOOKUP(D37,Categorias!A:B,2,0)),"",VLOOKUP(D37,Categorias!A:B,2,0))</f>
        <v>RECEITA</v>
      </c>
      <c r="F37" s="81">
        <v>25</v>
      </c>
      <c r="G37" s="5"/>
      <c r="H37" s="73">
        <f t="shared" si="0"/>
        <v>1796.86</v>
      </c>
    </row>
    <row r="38" spans="2:8" ht="13.8">
      <c r="B38" s="155" t="s">
        <v>346</v>
      </c>
      <c r="C38" s="97" t="s">
        <v>327</v>
      </c>
      <c r="D38" s="1" t="s">
        <v>61</v>
      </c>
      <c r="E38" s="1" t="str">
        <f>IF(ISERROR(VLOOKUP(D38,Categorias!A:B,2,0)),"",VLOOKUP(D38,Categorias!A:B,2,0))</f>
        <v>RECEITA</v>
      </c>
      <c r="F38" s="81">
        <v>50</v>
      </c>
      <c r="G38" s="5"/>
      <c r="H38" s="73">
        <f t="shared" si="0"/>
        <v>1846.86</v>
      </c>
    </row>
    <row r="39" spans="2:8" ht="13.8">
      <c r="B39" s="155" t="s">
        <v>346</v>
      </c>
      <c r="C39" s="98" t="s">
        <v>350</v>
      </c>
      <c r="D39" s="1" t="s">
        <v>61</v>
      </c>
      <c r="E39" s="1" t="str">
        <f>IF(ISERROR(VLOOKUP(D39,Categorias!A:B,2,0)),"",VLOOKUP(D39,Categorias!A:B,2,0))</f>
        <v>RECEITA</v>
      </c>
      <c r="F39" s="81">
        <v>25</v>
      </c>
      <c r="G39" s="5"/>
      <c r="H39" s="73">
        <f t="shared" si="0"/>
        <v>1871.86</v>
      </c>
    </row>
    <row r="40" spans="2:8" ht="13.8">
      <c r="B40" s="155" t="s">
        <v>346</v>
      </c>
      <c r="C40" s="97" t="s">
        <v>351</v>
      </c>
      <c r="D40" s="1" t="s">
        <v>61</v>
      </c>
      <c r="E40" s="1" t="str">
        <f>IF(ISERROR(VLOOKUP(D40,Categorias!A:B,2,0)),"",VLOOKUP(D40,Categorias!A:B,2,0))</f>
        <v>RECEITA</v>
      </c>
      <c r="F40" s="81">
        <v>25</v>
      </c>
      <c r="G40" s="5"/>
      <c r="H40" s="73">
        <f t="shared" si="0"/>
        <v>1896.86</v>
      </c>
    </row>
    <row r="41" spans="2:8" ht="13.8">
      <c r="B41" s="155" t="s">
        <v>346</v>
      </c>
      <c r="C41" s="97" t="s">
        <v>352</v>
      </c>
      <c r="D41" s="1" t="s">
        <v>61</v>
      </c>
      <c r="E41" s="1" t="str">
        <f>IF(ISERROR(VLOOKUP(D41,Categorias!A:B,2,0)),"",VLOOKUP(D41,Categorias!A:B,2,0))</f>
        <v>RECEITA</v>
      </c>
      <c r="F41" s="81">
        <v>25</v>
      </c>
      <c r="G41" s="5"/>
      <c r="H41" s="73">
        <f t="shared" si="0"/>
        <v>1921.86</v>
      </c>
    </row>
    <row r="42" spans="2:8" ht="13.8">
      <c r="B42" s="155" t="s">
        <v>353</v>
      </c>
      <c r="C42" s="97" t="s">
        <v>354</v>
      </c>
      <c r="D42" s="1" t="s">
        <v>61</v>
      </c>
      <c r="E42" s="1" t="str">
        <f>IF(ISERROR(VLOOKUP(D42,Categorias!A:B,2,0)),"",VLOOKUP(D42,Categorias!A:B,2,0))</f>
        <v>RECEITA</v>
      </c>
      <c r="F42" s="81">
        <v>5</v>
      </c>
      <c r="G42" s="5"/>
      <c r="H42" s="73">
        <f t="shared" si="0"/>
        <v>1926.86</v>
      </c>
    </row>
    <row r="43" spans="2:8" ht="13.8">
      <c r="B43" s="155" t="s">
        <v>353</v>
      </c>
      <c r="C43" s="97" t="s">
        <v>355</v>
      </c>
      <c r="D43" s="1" t="s">
        <v>61</v>
      </c>
      <c r="E43" s="1" t="str">
        <f>IF(ISERROR(VLOOKUP(D43,Categorias!A:B,2,0)),"",VLOOKUP(D43,Categorias!A:B,2,0))</f>
        <v>RECEITA</v>
      </c>
      <c r="F43" s="81">
        <v>25</v>
      </c>
      <c r="G43" s="5"/>
      <c r="H43" s="73">
        <f t="shared" si="0"/>
        <v>1951.86</v>
      </c>
    </row>
    <row r="44" spans="2:8" ht="13.8">
      <c r="B44" s="155" t="s">
        <v>353</v>
      </c>
      <c r="C44" s="97" t="s">
        <v>356</v>
      </c>
      <c r="D44" s="1" t="s">
        <v>61</v>
      </c>
      <c r="E44" s="1" t="str">
        <f>IF(ISERROR(VLOOKUP(D44,Categorias!A:B,2,0)),"",VLOOKUP(D44,Categorias!A:B,2,0))</f>
        <v>RECEITA</v>
      </c>
      <c r="F44" s="81">
        <v>25</v>
      </c>
      <c r="G44" s="5"/>
      <c r="H44" s="73">
        <f t="shared" si="0"/>
        <v>1976.86</v>
      </c>
    </row>
    <row r="45" spans="2:8" ht="13.8">
      <c r="B45" s="155" t="s">
        <v>353</v>
      </c>
      <c r="C45" s="8" t="s">
        <v>357</v>
      </c>
      <c r="D45" s="1" t="s">
        <v>61</v>
      </c>
      <c r="E45" s="1" t="s">
        <v>34</v>
      </c>
      <c r="F45" s="81">
        <v>7</v>
      </c>
      <c r="G45" s="5"/>
      <c r="H45" s="73">
        <f t="shared" si="0"/>
        <v>1983.86</v>
      </c>
    </row>
    <row r="46" spans="2:8" ht="13.8">
      <c r="B46" s="155" t="s">
        <v>353</v>
      </c>
      <c r="C46" s="8" t="s">
        <v>358</v>
      </c>
      <c r="D46" s="1" t="s">
        <v>61</v>
      </c>
      <c r="E46" s="1" t="str">
        <f>IF(ISERROR(VLOOKUP(D46,Categorias!A:B,2,0)),"",VLOOKUP(D46,Categorias!A:B,2,0))</f>
        <v>RECEITA</v>
      </c>
      <c r="F46" s="81">
        <v>25</v>
      </c>
      <c r="G46" s="5"/>
      <c r="H46" s="73">
        <f t="shared" si="0"/>
        <v>2008.86</v>
      </c>
    </row>
    <row r="47" spans="2:8" ht="13.8">
      <c r="B47" s="155" t="s">
        <v>353</v>
      </c>
      <c r="C47" s="8" t="s">
        <v>359</v>
      </c>
      <c r="D47" s="1" t="s">
        <v>61</v>
      </c>
      <c r="E47" s="1" t="str">
        <f>IF(ISERROR(VLOOKUP(D47,Categorias!A:B,2,0)),"",VLOOKUP(D47,Categorias!A:B,2,0))</f>
        <v>RECEITA</v>
      </c>
      <c r="F47" s="81">
        <v>35</v>
      </c>
      <c r="G47" s="5"/>
      <c r="H47" s="73">
        <f t="shared" si="0"/>
        <v>2043.86</v>
      </c>
    </row>
    <row r="48" spans="2:8" ht="13.8">
      <c r="B48" s="155" t="s">
        <v>353</v>
      </c>
      <c r="C48" s="8" t="s">
        <v>360</v>
      </c>
      <c r="D48" s="1" t="s">
        <v>61</v>
      </c>
      <c r="E48" s="1" t="str">
        <f>IF(ISERROR(VLOOKUP(D48,Categorias!A:B,2,0)),"",VLOOKUP(D48,Categorias!A:B,2,0))</f>
        <v>RECEITA</v>
      </c>
      <c r="F48" s="81">
        <v>32</v>
      </c>
      <c r="G48" s="5"/>
      <c r="H48" s="73">
        <f t="shared" si="0"/>
        <v>2075.8599999999997</v>
      </c>
    </row>
    <row r="49" spans="2:8" ht="13.8">
      <c r="B49" s="155" t="s">
        <v>353</v>
      </c>
      <c r="C49" s="8" t="s">
        <v>361</v>
      </c>
      <c r="D49" s="1" t="s">
        <v>61</v>
      </c>
      <c r="E49" s="1" t="str">
        <f>IF(ISERROR(VLOOKUP(D49,Categorias!A:B,2,0)),"",VLOOKUP(D49,Categorias!A:B,2,0))</f>
        <v>RECEITA</v>
      </c>
      <c r="F49" s="81">
        <v>31</v>
      </c>
      <c r="G49" s="5"/>
      <c r="H49" s="73">
        <f t="shared" si="0"/>
        <v>2106.8599999999997</v>
      </c>
    </row>
    <row r="50" spans="2:8" ht="13.8">
      <c r="B50" s="155" t="s">
        <v>353</v>
      </c>
      <c r="C50" s="8" t="s">
        <v>362</v>
      </c>
      <c r="D50" s="1" t="s">
        <v>61</v>
      </c>
      <c r="E50" s="1" t="str">
        <f>IF(ISERROR(VLOOKUP(D50,Categorias!A:B,2,0)),"",VLOOKUP(D50,Categorias!A:B,2,0))</f>
        <v>RECEITA</v>
      </c>
      <c r="F50" s="81">
        <v>45</v>
      </c>
      <c r="G50" s="5"/>
      <c r="H50" s="73">
        <f t="shared" si="0"/>
        <v>2151.8599999999997</v>
      </c>
    </row>
    <row r="51" spans="2:8" ht="13.8">
      <c r="B51" s="155" t="s">
        <v>353</v>
      </c>
      <c r="C51" s="8" t="s">
        <v>363</v>
      </c>
      <c r="D51" s="1" t="s">
        <v>61</v>
      </c>
      <c r="E51" s="1" t="str">
        <f>IF(ISERROR(VLOOKUP(D51,Categorias!A:B,2,0)),"",VLOOKUP(D51,Categorias!A:B,2,0))</f>
        <v>RECEITA</v>
      </c>
      <c r="F51" s="81">
        <v>5</v>
      </c>
      <c r="G51" s="5"/>
      <c r="H51" s="73">
        <f t="shared" si="0"/>
        <v>2156.8599999999997</v>
      </c>
    </row>
    <row r="52" spans="2:8" ht="13.8">
      <c r="B52" s="155" t="s">
        <v>353</v>
      </c>
      <c r="C52" s="8" t="s">
        <v>364</v>
      </c>
      <c r="D52" s="1" t="s">
        <v>61</v>
      </c>
      <c r="E52" s="1" t="str">
        <f>IF(ISERROR(VLOOKUP(D52,Categorias!A:B,2,0)),"",VLOOKUP(D52,Categorias!A:B,2,0))</f>
        <v>RECEITA</v>
      </c>
      <c r="F52" s="81">
        <v>72</v>
      </c>
      <c r="G52" s="5"/>
      <c r="H52" s="73">
        <f t="shared" si="0"/>
        <v>2228.8599999999997</v>
      </c>
    </row>
    <row r="53" spans="2:8" ht="13.8">
      <c r="B53" s="155" t="s">
        <v>353</v>
      </c>
      <c r="C53" s="8" t="s">
        <v>365</v>
      </c>
      <c r="D53" s="1" t="s">
        <v>61</v>
      </c>
      <c r="E53" s="1" t="str">
        <f>IF(ISERROR(VLOOKUP(D53,Categorias!A:B,2,0)),"",VLOOKUP(D53,Categorias!A:B,2,0))</f>
        <v>RECEITA</v>
      </c>
      <c r="F53" s="81">
        <v>5</v>
      </c>
      <c r="G53" s="5"/>
      <c r="H53" s="73">
        <f t="shared" si="0"/>
        <v>2233.8599999999997</v>
      </c>
    </row>
    <row r="54" spans="2:8" ht="13.8">
      <c r="B54" s="155" t="s">
        <v>366</v>
      </c>
      <c r="C54" s="8" t="s">
        <v>367</v>
      </c>
      <c r="D54" s="1" t="s">
        <v>61</v>
      </c>
      <c r="E54" s="1" t="str">
        <f>IF(ISERROR(VLOOKUP(D54,Categorias!A:B,2,0)),"",VLOOKUP(D54,Categorias!A:B,2,0))</f>
        <v>RECEITA</v>
      </c>
      <c r="F54" s="81">
        <v>32</v>
      </c>
      <c r="G54" s="5"/>
      <c r="H54" s="73">
        <f t="shared" si="0"/>
        <v>2265.8599999999997</v>
      </c>
    </row>
    <row r="55" spans="2:8" ht="13.8">
      <c r="B55" s="155" t="s">
        <v>366</v>
      </c>
      <c r="C55" s="8" t="s">
        <v>368</v>
      </c>
      <c r="D55" s="1" t="s">
        <v>61</v>
      </c>
      <c r="E55" s="1" t="str">
        <f>IF(ISERROR(VLOOKUP(D55,Categorias!A:B,2,0)),"",VLOOKUP(D55,Categorias!A:B,2,0))</f>
        <v>RECEITA</v>
      </c>
      <c r="F55" s="81">
        <v>30</v>
      </c>
      <c r="G55" s="5"/>
      <c r="H55" s="73">
        <f t="shared" si="0"/>
        <v>2295.8599999999997</v>
      </c>
    </row>
    <row r="56" spans="2:8" ht="13.8">
      <c r="B56" s="155" t="s">
        <v>366</v>
      </c>
      <c r="C56" s="8" t="s">
        <v>358</v>
      </c>
      <c r="D56" s="1" t="s">
        <v>61</v>
      </c>
      <c r="E56" s="1" t="str">
        <f>IF(ISERROR(VLOOKUP(D56,Categorias!A:B,2,0)),"",VLOOKUP(D56,Categorias!A:B,2,0))</f>
        <v>RECEITA</v>
      </c>
      <c r="F56" s="81">
        <v>25</v>
      </c>
      <c r="G56" s="5"/>
      <c r="H56" s="73">
        <f t="shared" si="0"/>
        <v>2320.8599999999997</v>
      </c>
    </row>
    <row r="57" spans="2:8" ht="13.8">
      <c r="B57" s="155" t="s">
        <v>366</v>
      </c>
      <c r="C57" s="8" t="s">
        <v>330</v>
      </c>
      <c r="D57" s="1" t="s">
        <v>61</v>
      </c>
      <c r="E57" s="1" t="str">
        <f>IF(ISERROR(VLOOKUP(D57,Categorias!A:B,2,0)),"",VLOOKUP(D57,Categorias!A:B,2,0))</f>
        <v>RECEITA</v>
      </c>
      <c r="F57" s="81">
        <v>50</v>
      </c>
      <c r="G57" s="5"/>
      <c r="H57" s="73">
        <f t="shared" si="0"/>
        <v>2370.8599999999997</v>
      </c>
    </row>
    <row r="58" spans="2:8" ht="13.8">
      <c r="B58" s="155" t="s">
        <v>366</v>
      </c>
      <c r="C58" s="8" t="s">
        <v>369</v>
      </c>
      <c r="D58" s="1" t="s">
        <v>61</v>
      </c>
      <c r="E58" s="1" t="str">
        <f>IF(ISERROR(VLOOKUP(D58,Categorias!A:B,2,0)),"",VLOOKUP(D58,Categorias!A:B,2,0))</f>
        <v>RECEITA</v>
      </c>
      <c r="F58" s="81">
        <v>221.52</v>
      </c>
      <c r="G58" s="5"/>
      <c r="H58" s="73">
        <f t="shared" si="0"/>
        <v>2592.3799999999997</v>
      </c>
    </row>
    <row r="59" spans="2:8" ht="13.8">
      <c r="B59" s="156" t="s">
        <v>366</v>
      </c>
      <c r="C59" s="8" t="s">
        <v>345</v>
      </c>
      <c r="D59" s="1" t="s">
        <v>61</v>
      </c>
      <c r="E59" s="1" t="str">
        <f>IF(ISERROR(VLOOKUP(D59,Categorias!A:B,2,0)),"",VLOOKUP(D59,Categorias!A:B,2,0))</f>
        <v>RECEITA</v>
      </c>
      <c r="F59" s="81">
        <v>126.45</v>
      </c>
      <c r="G59" s="5"/>
      <c r="H59" s="73">
        <f t="shared" si="0"/>
        <v>2718.8299999999995</v>
      </c>
    </row>
    <row r="60" spans="2:8" ht="13.8">
      <c r="B60" s="156" t="s">
        <v>366</v>
      </c>
      <c r="C60" s="8" t="s">
        <v>335</v>
      </c>
      <c r="D60" s="1" t="s">
        <v>61</v>
      </c>
      <c r="E60" s="1" t="str">
        <f>IF(ISERROR(VLOOKUP(D60,Categorias!A:B,2,0)),"",VLOOKUP(D60,Categorias!A:B,2,0))</f>
        <v>RECEITA</v>
      </c>
      <c r="F60" s="81">
        <v>24.26</v>
      </c>
      <c r="G60" s="5"/>
      <c r="H60" s="73">
        <f t="shared" si="0"/>
        <v>2743.0899999999997</v>
      </c>
    </row>
    <row r="61" spans="2:8" ht="13.8">
      <c r="B61" s="156" t="s">
        <v>366</v>
      </c>
      <c r="C61" s="8" t="s">
        <v>332</v>
      </c>
      <c r="D61" s="1" t="s">
        <v>61</v>
      </c>
      <c r="E61" s="1" t="str">
        <f>IF(ISERROR(VLOOKUP(D61,Categorias!A:B,2,0)),"",VLOOKUP(D61,Categorias!A:B,2,0))</f>
        <v>RECEITA</v>
      </c>
      <c r="F61" s="81">
        <v>184.34</v>
      </c>
      <c r="G61" s="5"/>
      <c r="H61" s="73">
        <f t="shared" si="0"/>
        <v>2927.43</v>
      </c>
    </row>
    <row r="62" spans="2:8" ht="13.8">
      <c r="B62" s="156" t="s">
        <v>366</v>
      </c>
      <c r="C62" s="8" t="s">
        <v>370</v>
      </c>
      <c r="D62" s="1" t="s">
        <v>61</v>
      </c>
      <c r="E62" s="1" t="str">
        <f>IF(ISERROR(VLOOKUP(D62,Categorias!A:B,2,0)),"",VLOOKUP(D62,Categorias!A:B,2,0))</f>
        <v>RECEITA</v>
      </c>
      <c r="F62" s="81">
        <v>12</v>
      </c>
      <c r="G62" s="5"/>
      <c r="H62" s="73">
        <f t="shared" si="0"/>
        <v>2939.43</v>
      </c>
    </row>
    <row r="63" spans="2:8" ht="13.8">
      <c r="B63" s="156" t="s">
        <v>366</v>
      </c>
      <c r="C63" s="8" t="s">
        <v>371</v>
      </c>
      <c r="D63" s="1" t="s">
        <v>61</v>
      </c>
      <c r="E63" s="1" t="str">
        <f>IF(ISERROR(VLOOKUP(D63,Categorias!A:B,2,0)),"",VLOOKUP(D63,Categorias!A:B,2,0))</f>
        <v>RECEITA</v>
      </c>
      <c r="F63" s="81">
        <v>30</v>
      </c>
      <c r="G63" s="5"/>
      <c r="H63" s="73">
        <f t="shared" si="0"/>
        <v>2969.43</v>
      </c>
    </row>
    <row r="64" spans="2:8" ht="13.8">
      <c r="B64" s="156" t="s">
        <v>372</v>
      </c>
      <c r="C64" s="8" t="s">
        <v>373</v>
      </c>
      <c r="D64" s="1" t="s">
        <v>61</v>
      </c>
      <c r="E64" s="1" t="str">
        <f>IF(ISERROR(VLOOKUP(D64,Categorias!A:B,2,0)),"",VLOOKUP(D64,Categorias!A:B,2,0))</f>
        <v>RECEITA</v>
      </c>
      <c r="F64" s="81">
        <v>30</v>
      </c>
      <c r="G64" s="5"/>
      <c r="H64" s="73">
        <f t="shared" si="0"/>
        <v>2999.43</v>
      </c>
    </row>
    <row r="65" spans="2:8" ht="13.8">
      <c r="B65" s="156" t="s">
        <v>372</v>
      </c>
      <c r="C65" s="8" t="s">
        <v>357</v>
      </c>
      <c r="D65" s="1" t="s">
        <v>61</v>
      </c>
      <c r="E65" s="1" t="str">
        <f>IF(ISERROR(VLOOKUP(D65,Categorias!A:B,2,0)),"",VLOOKUP(D65,Categorias!A:B,2,0))</f>
        <v>RECEITA</v>
      </c>
      <c r="F65" s="81">
        <v>10</v>
      </c>
      <c r="G65" s="5"/>
      <c r="H65" s="73">
        <f t="shared" si="0"/>
        <v>3009.43</v>
      </c>
    </row>
    <row r="66" spans="2:8" ht="13.8">
      <c r="B66" s="156" t="s">
        <v>372</v>
      </c>
      <c r="C66" s="8" t="s">
        <v>374</v>
      </c>
      <c r="D66" s="1" t="s">
        <v>61</v>
      </c>
      <c r="E66" s="1" t="str">
        <f>IF(ISERROR(VLOOKUP(D66,Categorias!A:B,2,0)),"",VLOOKUP(D66,Categorias!A:B,2,0))</f>
        <v>RECEITA</v>
      </c>
      <c r="F66" s="81">
        <v>25</v>
      </c>
      <c r="G66" s="5"/>
      <c r="H66" s="73">
        <f t="shared" si="0"/>
        <v>3034.43</v>
      </c>
    </row>
    <row r="67" spans="2:8" ht="13.8">
      <c r="B67" s="156" t="s">
        <v>372</v>
      </c>
      <c r="C67" s="8" t="s">
        <v>375</v>
      </c>
      <c r="D67" s="1" t="s">
        <v>61</v>
      </c>
      <c r="E67" s="1" t="str">
        <f>IF(ISERROR(VLOOKUP(D67,Categorias!A:B,2,0)),"",VLOOKUP(D67,Categorias!A:B,2,0))</f>
        <v>RECEITA</v>
      </c>
      <c r="F67" s="81">
        <v>25</v>
      </c>
      <c r="G67" s="5"/>
      <c r="H67" s="73">
        <f t="shared" si="0"/>
        <v>3059.43</v>
      </c>
    </row>
    <row r="68" spans="2:8" ht="13.8">
      <c r="B68" s="156" t="s">
        <v>372</v>
      </c>
      <c r="C68" s="8" t="s">
        <v>376</v>
      </c>
      <c r="D68" s="1" t="s">
        <v>61</v>
      </c>
      <c r="E68" s="1" t="str">
        <f>IF(ISERROR(VLOOKUP(D68,Categorias!A:B,2,0)),"",VLOOKUP(D68,Categorias!A:B,2,0))</f>
        <v>RECEITA</v>
      </c>
      <c r="F68" s="81">
        <v>25</v>
      </c>
      <c r="G68" s="5"/>
      <c r="H68" s="73">
        <f t="shared" si="0"/>
        <v>3084.43</v>
      </c>
    </row>
    <row r="69" spans="2:8" ht="13.8">
      <c r="B69" s="156" t="s">
        <v>372</v>
      </c>
      <c r="C69" s="8" t="s">
        <v>343</v>
      </c>
      <c r="D69" s="1" t="s">
        <v>61</v>
      </c>
      <c r="E69" s="1" t="str">
        <f>IF(ISERROR(VLOOKUP(D69,Categorias!A:B,2,0)),"",VLOOKUP(D69,Categorias!A:B,2,0))</f>
        <v>RECEITA</v>
      </c>
      <c r="F69" s="81">
        <v>25</v>
      </c>
      <c r="G69" s="5"/>
      <c r="H69" s="73">
        <f t="shared" si="0"/>
        <v>3109.43</v>
      </c>
    </row>
    <row r="70" spans="2:8" ht="13.8">
      <c r="B70" s="156" t="s">
        <v>372</v>
      </c>
      <c r="C70" s="8" t="s">
        <v>377</v>
      </c>
      <c r="D70" s="1" t="s">
        <v>61</v>
      </c>
      <c r="E70" s="1" t="str">
        <f>IF(ISERROR(VLOOKUP(D70,Categorias!A:B,2,0)),"",VLOOKUP(D70,Categorias!A:B,2,0))</f>
        <v>RECEITA</v>
      </c>
      <c r="F70" s="81">
        <v>25</v>
      </c>
      <c r="G70" s="5"/>
      <c r="H70" s="73">
        <f t="shared" si="0"/>
        <v>3134.43</v>
      </c>
    </row>
    <row r="71" spans="2:8" ht="13.8">
      <c r="B71" s="156" t="s">
        <v>372</v>
      </c>
      <c r="C71" s="8" t="s">
        <v>378</v>
      </c>
      <c r="D71" s="1" t="s">
        <v>61</v>
      </c>
      <c r="E71" s="1" t="str">
        <f>IF(ISERROR(VLOOKUP(D71,Categorias!A:B,2,0)),"",VLOOKUP(D71,Categorias!A:B,2,0))</f>
        <v>RECEITA</v>
      </c>
      <c r="F71" s="81">
        <v>25</v>
      </c>
      <c r="G71" s="5"/>
      <c r="H71" s="73">
        <f t="shared" si="0"/>
        <v>3159.43</v>
      </c>
    </row>
    <row r="72" spans="2:8" ht="13.8">
      <c r="B72" s="156" t="s">
        <v>372</v>
      </c>
      <c r="C72" s="8" t="s">
        <v>379</v>
      </c>
      <c r="D72" s="1" t="s">
        <v>61</v>
      </c>
      <c r="E72" s="1" t="str">
        <f>IF(ISERROR(VLOOKUP(D72,Categorias!A:B,2,0)),"",VLOOKUP(D72,Categorias!A:B,2,0))</f>
        <v>RECEITA</v>
      </c>
      <c r="F72" s="81">
        <v>32</v>
      </c>
      <c r="G72" s="5"/>
      <c r="H72" s="73">
        <f t="shared" si="0"/>
        <v>3191.43</v>
      </c>
    </row>
    <row r="73" spans="2:8" ht="13.8">
      <c r="B73" s="156" t="s">
        <v>372</v>
      </c>
      <c r="C73" s="8" t="s">
        <v>380</v>
      </c>
      <c r="D73" s="1" t="s">
        <v>61</v>
      </c>
      <c r="E73" s="1" t="str">
        <f>IF(ISERROR(VLOOKUP(D73,Categorias!A:B,2,0)),"",VLOOKUP(D73,Categorias!A:B,2,0))</f>
        <v>RECEITA</v>
      </c>
      <c r="F73" s="81">
        <v>25</v>
      </c>
      <c r="G73" s="5"/>
      <c r="H73" s="73">
        <f t="shared" si="0"/>
        <v>3216.43</v>
      </c>
    </row>
    <row r="74" spans="2:8" ht="13.8">
      <c r="B74" s="156" t="s">
        <v>372</v>
      </c>
      <c r="C74" s="8" t="s">
        <v>345</v>
      </c>
      <c r="D74" s="1" t="s">
        <v>61</v>
      </c>
      <c r="E74" s="1" t="str">
        <f>IF(ISERROR(VLOOKUP(D74,Categorias!A:B,2,0)),"",VLOOKUP(D74,Categorias!A:B,2,0))</f>
        <v>RECEITA</v>
      </c>
      <c r="F74" s="81">
        <v>71.95</v>
      </c>
      <c r="G74" s="5"/>
      <c r="H74" s="73">
        <f t="shared" si="0"/>
        <v>3288.3799999999997</v>
      </c>
    </row>
    <row r="75" spans="2:8" ht="13.8">
      <c r="B75" s="156" t="s">
        <v>372</v>
      </c>
      <c r="C75" s="8" t="s">
        <v>335</v>
      </c>
      <c r="D75" s="1" t="s">
        <v>61</v>
      </c>
      <c r="E75" s="1" t="str">
        <f>IF(ISERROR(VLOOKUP(D75,Categorias!A:B,2,0)),"",VLOOKUP(D75,Categorias!A:B,2,0))</f>
        <v>RECEITA</v>
      </c>
      <c r="F75" s="81">
        <v>24.26</v>
      </c>
      <c r="G75" s="5"/>
      <c r="H75" s="73">
        <f t="shared" si="0"/>
        <v>3312.64</v>
      </c>
    </row>
    <row r="76" spans="2:8" ht="13.8">
      <c r="B76" s="156" t="s">
        <v>381</v>
      </c>
      <c r="C76" s="8" t="s">
        <v>382</v>
      </c>
      <c r="D76" s="1" t="s">
        <v>61</v>
      </c>
      <c r="E76" s="1" t="str">
        <f>IF(ISERROR(VLOOKUP(D76,Categorias!A:B,2,0)),"",VLOOKUP(D76,Categorias!A:B,2,0))</f>
        <v>RECEITA</v>
      </c>
      <c r="F76" s="81">
        <v>25</v>
      </c>
      <c r="G76" s="5"/>
      <c r="H76" s="73">
        <f t="shared" si="0"/>
        <v>3337.64</v>
      </c>
    </row>
    <row r="77" spans="2:8" ht="13.8">
      <c r="B77" s="156" t="s">
        <v>381</v>
      </c>
      <c r="C77" s="8" t="s">
        <v>383</v>
      </c>
      <c r="D77" s="1" t="s">
        <v>61</v>
      </c>
      <c r="E77" s="1" t="str">
        <f>IF(ISERROR(VLOOKUP(D77,Categorias!A:B,2,0)),"",VLOOKUP(D77,Categorias!A:B,2,0))</f>
        <v>RECEITA</v>
      </c>
      <c r="F77" s="81">
        <v>25</v>
      </c>
      <c r="G77" s="5"/>
      <c r="H77" s="73">
        <f t="shared" si="0"/>
        <v>3362.64</v>
      </c>
    </row>
    <row r="78" spans="2:8" ht="13.8">
      <c r="B78" s="156" t="s">
        <v>322</v>
      </c>
      <c r="C78" s="8" t="s">
        <v>384</v>
      </c>
      <c r="D78" s="1" t="s">
        <v>9</v>
      </c>
      <c r="E78" s="1" t="str">
        <f>IF(ISERROR(VLOOKUP(D78,Categorias!A:B,2,0)),"",VLOOKUP(D78,Categorias!A:B,2,0))</f>
        <v>GASTOS VARIÁVEIS</v>
      </c>
      <c r="F78" s="80"/>
      <c r="G78" s="5">
        <v>57</v>
      </c>
      <c r="H78" s="73">
        <f t="shared" si="0"/>
        <v>3305.64</v>
      </c>
    </row>
    <row r="79" spans="2:8" ht="13.8">
      <c r="B79" s="156" t="s">
        <v>322</v>
      </c>
      <c r="C79" s="8" t="s">
        <v>385</v>
      </c>
      <c r="D79" s="1" t="s">
        <v>17</v>
      </c>
      <c r="E79" s="1" t="str">
        <f>IF(ISERROR(VLOOKUP(D79,Categorias!A:B,2,0)),"",VLOOKUP(D79,Categorias!A:B,2,0))</f>
        <v>GASTOS VARIÁVEIS</v>
      </c>
      <c r="F79" s="80"/>
      <c r="G79" s="100">
        <v>0.24</v>
      </c>
      <c r="H79" s="73">
        <f t="shared" ref="H79:H113" si="1">H78+F79-G79</f>
        <v>3305.4</v>
      </c>
    </row>
    <row r="80" spans="2:8" ht="13.8">
      <c r="B80" s="156" t="s">
        <v>322</v>
      </c>
      <c r="C80" s="8" t="s">
        <v>385</v>
      </c>
      <c r="D80" s="1" t="s">
        <v>17</v>
      </c>
      <c r="E80" s="1" t="str">
        <f>IF(ISERROR(VLOOKUP(D80,Categorias!A:B,2,0)),"",VLOOKUP(D80,Categorias!A:B,2,0))</f>
        <v>GASTOS VARIÁVEIS</v>
      </c>
      <c r="F80" s="80"/>
      <c r="G80" s="100">
        <v>0.56999999999999995</v>
      </c>
      <c r="H80" s="73">
        <f t="shared" si="1"/>
        <v>3304.83</v>
      </c>
    </row>
    <row r="81" spans="2:8" ht="13.8">
      <c r="B81" s="156" t="s">
        <v>333</v>
      </c>
      <c r="C81" s="8" t="s">
        <v>385</v>
      </c>
      <c r="D81" s="1" t="s">
        <v>17</v>
      </c>
      <c r="E81" s="1" t="str">
        <f>IF(ISERROR(VLOOKUP(D81,Categorias!A:B,2,0)),"",VLOOKUP(D81,Categorias!A:B,2,0))</f>
        <v>GASTOS VARIÁVEIS</v>
      </c>
      <c r="F81" s="80"/>
      <c r="G81" s="100">
        <v>0.28999999999999998</v>
      </c>
      <c r="H81" s="73">
        <f t="shared" si="1"/>
        <v>3304.54</v>
      </c>
    </row>
    <row r="82" spans="2:8" ht="13.8">
      <c r="B82" s="156" t="s">
        <v>333</v>
      </c>
      <c r="C82" s="8" t="s">
        <v>386</v>
      </c>
      <c r="D82" s="1" t="s">
        <v>12</v>
      </c>
      <c r="E82" s="1" t="str">
        <f>IF(ISERROR(VLOOKUP(D82,Categorias!A:B,2,0)),"",VLOOKUP(D82,Categorias!A:B,2,0))</f>
        <v>NÃO OPERACIONAL</v>
      </c>
      <c r="F82" s="80"/>
      <c r="G82" s="100">
        <v>190</v>
      </c>
      <c r="H82" s="73">
        <f t="shared" si="1"/>
        <v>3114.54</v>
      </c>
    </row>
    <row r="83" spans="2:8" ht="13.8">
      <c r="B83" s="156" t="s">
        <v>336</v>
      </c>
      <c r="C83" s="8" t="s">
        <v>387</v>
      </c>
      <c r="D83" s="1" t="s">
        <v>62</v>
      </c>
      <c r="E83" s="1" t="str">
        <f>IF(ISERROR(VLOOKUP(D83,Categorias!A:B,2,0)),"",VLOOKUP(D83,Categorias!A:B,2,0))</f>
        <v>DESPESAS FIXAS</v>
      </c>
      <c r="F83" s="80"/>
      <c r="G83" s="100">
        <v>850</v>
      </c>
      <c r="H83" s="73">
        <f t="shared" si="1"/>
        <v>2264.54</v>
      </c>
    </row>
    <row r="84" spans="2:8" ht="13.8">
      <c r="B84" s="156" t="s">
        <v>336</v>
      </c>
      <c r="C84" s="8" t="s">
        <v>384</v>
      </c>
      <c r="D84" s="1" t="s">
        <v>9</v>
      </c>
      <c r="E84" s="1" t="str">
        <f>IF(ISERROR(VLOOKUP(D84,Categorias!A:B,2,0)),"",VLOOKUP(D84,Categorias!A:B,2,0))</f>
        <v>GASTOS VARIÁVEIS</v>
      </c>
      <c r="F84" s="80"/>
      <c r="G84" s="100">
        <v>50</v>
      </c>
      <c r="H84" s="73">
        <f t="shared" si="1"/>
        <v>2214.54</v>
      </c>
    </row>
    <row r="85" spans="2:8" ht="13.8">
      <c r="B85" s="156" t="s">
        <v>336</v>
      </c>
      <c r="C85" s="8" t="s">
        <v>385</v>
      </c>
      <c r="D85" s="1" t="s">
        <v>17</v>
      </c>
      <c r="E85" s="1" t="str">
        <f>IF(ISERROR(VLOOKUP(D85,Categorias!A:B,2,0)),"",VLOOKUP(D85,Categorias!A:B,2,0))</f>
        <v>GASTOS VARIÁVEIS</v>
      </c>
      <c r="F85" s="80"/>
      <c r="G85" s="100">
        <v>0.24</v>
      </c>
      <c r="H85" s="73">
        <f t="shared" si="1"/>
        <v>2214.3000000000002</v>
      </c>
    </row>
    <row r="86" spans="2:8" ht="13.8">
      <c r="B86" s="156" t="s">
        <v>336</v>
      </c>
      <c r="C86" s="8" t="s">
        <v>385</v>
      </c>
      <c r="D86" s="1" t="s">
        <v>17</v>
      </c>
      <c r="E86" s="1" t="str">
        <f>IF(ISERROR(VLOOKUP(D86,Categorias!A:B,2,0)),"",VLOOKUP(D86,Categorias!A:B,2,0))</f>
        <v>GASTOS VARIÁVEIS</v>
      </c>
      <c r="F86" s="80"/>
      <c r="G86" s="100">
        <v>0.63</v>
      </c>
      <c r="H86" s="73">
        <f t="shared" si="1"/>
        <v>2213.67</v>
      </c>
    </row>
    <row r="87" spans="2:8" ht="13.8">
      <c r="B87" s="156" t="s">
        <v>336</v>
      </c>
      <c r="C87" s="8" t="s">
        <v>385</v>
      </c>
      <c r="D87" s="1" t="s">
        <v>17</v>
      </c>
      <c r="E87" s="1" t="str">
        <f>IF(ISERROR(VLOOKUP(D87,Categorias!A:B,2,0)),"",VLOOKUP(D87,Categorias!A:B,2,0))</f>
        <v>GASTOS VARIÁVEIS</v>
      </c>
      <c r="F87" s="80"/>
      <c r="G87" s="100">
        <v>0.24</v>
      </c>
      <c r="H87" s="73">
        <f t="shared" si="1"/>
        <v>2213.4300000000003</v>
      </c>
    </row>
    <row r="88" spans="2:8" ht="13.8">
      <c r="B88" s="156" t="s">
        <v>346</v>
      </c>
      <c r="C88" s="8" t="s">
        <v>388</v>
      </c>
      <c r="D88" s="1" t="s">
        <v>68</v>
      </c>
      <c r="E88" s="1" t="str">
        <f>IF(ISERROR(VLOOKUP(D88,Categorias!A:B,2,0)),"",VLOOKUP(D88,Categorias!A:B,2,0))</f>
        <v>NÃO OPERACIONAL</v>
      </c>
      <c r="F88" s="80"/>
      <c r="G88" s="100">
        <v>8</v>
      </c>
      <c r="H88" s="73">
        <f t="shared" si="1"/>
        <v>2205.4300000000003</v>
      </c>
    </row>
    <row r="89" spans="2:8" ht="13.8">
      <c r="B89" s="156" t="s">
        <v>346</v>
      </c>
      <c r="C89" s="8" t="s">
        <v>389</v>
      </c>
      <c r="D89" s="1" t="s">
        <v>12</v>
      </c>
      <c r="E89" s="1" t="str">
        <f>IF(ISERROR(VLOOKUP(D89,Categorias!A:B,2,0)),"",VLOOKUP(D89,Categorias!A:B,2,0))</f>
        <v>NÃO OPERACIONAL</v>
      </c>
      <c r="F89" s="80"/>
      <c r="G89" s="100">
        <v>583</v>
      </c>
      <c r="H89" s="73">
        <f t="shared" si="1"/>
        <v>1622.4300000000003</v>
      </c>
    </row>
    <row r="90" spans="2:8" ht="13.8">
      <c r="B90" s="156" t="s">
        <v>346</v>
      </c>
      <c r="C90" s="8" t="s">
        <v>384</v>
      </c>
      <c r="D90" s="1" t="s">
        <v>9</v>
      </c>
      <c r="E90" s="1" t="str">
        <f>IF(ISERROR(VLOOKUP(D90,Categorias!A:B,2,0)),"",VLOOKUP(D90,Categorias!A:B,2,0))</f>
        <v>GASTOS VARIÁVEIS</v>
      </c>
      <c r="F90" s="80"/>
      <c r="G90" s="100">
        <v>45</v>
      </c>
      <c r="H90" s="73">
        <f t="shared" si="1"/>
        <v>1577.4300000000003</v>
      </c>
    </row>
    <row r="91" spans="2:8" ht="13.8">
      <c r="B91" s="156" t="s">
        <v>346</v>
      </c>
      <c r="C91" s="8" t="s">
        <v>385</v>
      </c>
      <c r="D91" s="1" t="s">
        <v>17</v>
      </c>
      <c r="E91" s="1" t="str">
        <f>IF(ISERROR(VLOOKUP(D91,Categorias!A:B,2,0)),"",VLOOKUP(D91,Categorias!A:B,2,0))</f>
        <v>GASTOS VARIÁVEIS</v>
      </c>
      <c r="F91" s="80"/>
      <c r="G91" s="100">
        <v>0.49</v>
      </c>
      <c r="H91" s="73">
        <f t="shared" si="1"/>
        <v>1576.9400000000003</v>
      </c>
    </row>
    <row r="92" spans="2:8" ht="13.8">
      <c r="B92" s="156" t="s">
        <v>346</v>
      </c>
      <c r="C92" s="8" t="s">
        <v>385</v>
      </c>
      <c r="D92" s="1" t="s">
        <v>17</v>
      </c>
      <c r="E92" s="1" t="str">
        <f>IF(ISERROR(VLOOKUP(D92,Categorias!A:B,2,0)),"",VLOOKUP(D92,Categorias!A:B,2,0))</f>
        <v>GASTOS VARIÁVEIS</v>
      </c>
      <c r="F92" s="80"/>
      <c r="G92" s="100">
        <v>0.24</v>
      </c>
      <c r="H92" s="73">
        <f t="shared" si="1"/>
        <v>1576.7000000000003</v>
      </c>
    </row>
    <row r="93" spans="2:8" ht="13.8">
      <c r="B93" s="156" t="s">
        <v>346</v>
      </c>
      <c r="C93" s="8" t="s">
        <v>385</v>
      </c>
      <c r="D93" s="1" t="s">
        <v>17</v>
      </c>
      <c r="E93" s="1" t="str">
        <f>IF(ISERROR(VLOOKUP(D93,Categorias!A:B,2,0)),"",VLOOKUP(D93,Categorias!A:B,2,0))</f>
        <v>GASTOS VARIÁVEIS</v>
      </c>
      <c r="F93" s="80"/>
      <c r="G93" s="100">
        <v>0.49</v>
      </c>
      <c r="H93" s="73">
        <f t="shared" si="1"/>
        <v>1576.2100000000003</v>
      </c>
    </row>
    <row r="94" spans="2:8" ht="13.8">
      <c r="B94" s="156" t="s">
        <v>346</v>
      </c>
      <c r="C94" s="8" t="s">
        <v>385</v>
      </c>
      <c r="D94" s="1" t="s">
        <v>17</v>
      </c>
      <c r="E94" s="1" t="str">
        <f>IF(ISERROR(VLOOKUP(D94,Categorias!A:B,2,0)),"",VLOOKUP(D94,Categorias!A:B,2,0))</f>
        <v>GASTOS VARIÁVEIS</v>
      </c>
      <c r="F94" s="80"/>
      <c r="G94" s="100">
        <v>0.24</v>
      </c>
      <c r="H94" s="73">
        <f t="shared" si="1"/>
        <v>1575.9700000000003</v>
      </c>
    </row>
    <row r="95" spans="2:8" ht="13.8">
      <c r="B95" s="156" t="s">
        <v>353</v>
      </c>
      <c r="C95" s="8" t="s">
        <v>385</v>
      </c>
      <c r="D95" s="1" t="s">
        <v>17</v>
      </c>
      <c r="E95" s="1" t="str">
        <f>IF(ISERROR(VLOOKUP(D95,Categorias!A:B,2,0)),"",VLOOKUP(D95,Categorias!A:B,2,0))</f>
        <v>GASTOS VARIÁVEIS</v>
      </c>
      <c r="F95" s="80"/>
      <c r="G95" s="100">
        <v>0.04</v>
      </c>
      <c r="H95" s="73">
        <f t="shared" si="1"/>
        <v>1575.9300000000003</v>
      </c>
    </row>
    <row r="96" spans="2:8" ht="13.8">
      <c r="B96" s="156" t="s">
        <v>353</v>
      </c>
      <c r="C96" s="8" t="s">
        <v>394</v>
      </c>
      <c r="D96" s="1" t="s">
        <v>62</v>
      </c>
      <c r="E96" s="1" t="str">
        <f>IF(ISERROR(VLOOKUP(D96,Categorias!A:B,2,0)),"",VLOOKUP(D96,Categorias!A:B,2,0))</f>
        <v>DESPESAS FIXAS</v>
      </c>
      <c r="F96" s="80"/>
      <c r="G96" s="100">
        <v>450</v>
      </c>
      <c r="H96" s="73">
        <f t="shared" si="1"/>
        <v>1125.9300000000003</v>
      </c>
    </row>
    <row r="97" spans="2:8" ht="13.8">
      <c r="B97" s="156" t="s">
        <v>353</v>
      </c>
      <c r="C97" s="8" t="s">
        <v>385</v>
      </c>
      <c r="D97" s="1" t="s">
        <v>17</v>
      </c>
      <c r="E97" s="1" t="str">
        <f>IF(ISERROR(VLOOKUP(D97,Categorias!A:B,2,0)),"",VLOOKUP(D97,Categorias!A:B,2,0))</f>
        <v>GASTOS VARIÁVEIS</v>
      </c>
      <c r="F97" s="80"/>
      <c r="G97" s="100">
        <v>0.24</v>
      </c>
      <c r="H97" s="73">
        <f t="shared" si="1"/>
        <v>1125.6900000000003</v>
      </c>
    </row>
    <row r="98" spans="2:8" ht="13.8">
      <c r="B98" s="156" t="s">
        <v>353</v>
      </c>
      <c r="C98" s="8" t="s">
        <v>385</v>
      </c>
      <c r="D98" s="1" t="s">
        <v>17</v>
      </c>
      <c r="E98" s="1" t="str">
        <f>IF(ISERROR(VLOOKUP(D98,Categorias!A:B,2,0)),"",VLOOKUP(D98,Categorias!A:B,2,0))</f>
        <v>GASTOS VARIÁVEIS</v>
      </c>
      <c r="F98" s="80"/>
      <c r="G98" s="100">
        <v>0.06</v>
      </c>
      <c r="H98" s="73">
        <f t="shared" si="1"/>
        <v>1125.6300000000003</v>
      </c>
    </row>
    <row r="99" spans="2:8" ht="13.8">
      <c r="B99" s="156" t="s">
        <v>353</v>
      </c>
      <c r="C99" s="8" t="s">
        <v>385</v>
      </c>
      <c r="D99" s="1" t="s">
        <v>17</v>
      </c>
      <c r="E99" s="1" t="str">
        <f>IF(ISERROR(VLOOKUP(D99,Categorias!A:B,2,0)),"",VLOOKUP(D99,Categorias!A:B,2,0))</f>
        <v>GASTOS VARIÁVEIS</v>
      </c>
      <c r="F99" s="80"/>
      <c r="G99" s="100">
        <v>0.34</v>
      </c>
      <c r="H99" s="73">
        <f t="shared" si="1"/>
        <v>1125.2900000000004</v>
      </c>
    </row>
    <row r="100" spans="2:8" ht="13.8">
      <c r="B100" s="156" t="s">
        <v>353</v>
      </c>
      <c r="C100" s="8" t="s">
        <v>390</v>
      </c>
      <c r="D100" s="1" t="s">
        <v>68</v>
      </c>
      <c r="E100" s="1" t="str">
        <f>IF(ISERROR(VLOOKUP(D100,Categorias!A:B,2,0)),"",VLOOKUP(D100,Categorias!A:B,2,0))</f>
        <v>NÃO OPERACIONAL</v>
      </c>
      <c r="F100" s="80"/>
      <c r="G100" s="100">
        <v>6</v>
      </c>
      <c r="H100" s="73">
        <f t="shared" si="1"/>
        <v>1119.2900000000004</v>
      </c>
    </row>
    <row r="101" spans="2:8" ht="13.8">
      <c r="B101" s="156" t="s">
        <v>353</v>
      </c>
      <c r="C101" s="8" t="s">
        <v>385</v>
      </c>
      <c r="D101" s="1" t="s">
        <v>17</v>
      </c>
      <c r="E101" s="1" t="str">
        <f>IF(ISERROR(VLOOKUP(D101,Categorias!A:B,2,0)),"",VLOOKUP(D101,Categorias!A:B,2,0))</f>
        <v>GASTOS VARIÁVEIS</v>
      </c>
      <c r="F101" s="80"/>
      <c r="G101" s="100">
        <v>0.44</v>
      </c>
      <c r="H101" s="73">
        <f t="shared" si="1"/>
        <v>1118.8500000000004</v>
      </c>
    </row>
    <row r="102" spans="2:8" ht="13.8">
      <c r="B102" s="156" t="s">
        <v>353</v>
      </c>
      <c r="C102" s="8" t="s">
        <v>385</v>
      </c>
      <c r="D102" s="1" t="s">
        <v>17</v>
      </c>
      <c r="E102" s="1" t="str">
        <f>IF(ISERROR(VLOOKUP(D102,Categorias!A:B,2,0)),"",VLOOKUP(D102,Categorias!A:B,2,0))</f>
        <v>GASTOS VARIÁVEIS</v>
      </c>
      <c r="F102" s="80"/>
      <c r="G102" s="100">
        <v>0.04</v>
      </c>
      <c r="H102" s="73">
        <f t="shared" si="1"/>
        <v>1118.8100000000004</v>
      </c>
    </row>
    <row r="103" spans="2:8" ht="13.8">
      <c r="B103" s="156" t="s">
        <v>353</v>
      </c>
      <c r="C103" s="8" t="s">
        <v>385</v>
      </c>
      <c r="D103" s="1" t="s">
        <v>17</v>
      </c>
      <c r="E103" s="1" t="str">
        <f>IF(ISERROR(VLOOKUP(D103,Categorias!A:B,2,0)),"",VLOOKUP(D103,Categorias!A:B,2,0))</f>
        <v>GASTOS VARIÁVEIS</v>
      </c>
      <c r="F103" s="80"/>
      <c r="G103" s="100">
        <v>0.71</v>
      </c>
      <c r="H103" s="73">
        <f t="shared" si="1"/>
        <v>1118.1000000000004</v>
      </c>
    </row>
    <row r="104" spans="2:8" ht="13.8">
      <c r="B104" s="156" t="s">
        <v>353</v>
      </c>
      <c r="C104" s="8" t="s">
        <v>385</v>
      </c>
      <c r="D104" s="1" t="s">
        <v>17</v>
      </c>
      <c r="E104" s="1" t="str">
        <f>IF(ISERROR(VLOOKUP(D104,Categorias!A:B,2,0)),"",VLOOKUP(D104,Categorias!A:B,2,0))</f>
        <v>GASTOS VARIÁVEIS</v>
      </c>
      <c r="F104" s="80"/>
      <c r="G104" s="100">
        <v>0.04</v>
      </c>
      <c r="H104" s="73">
        <f t="shared" si="1"/>
        <v>1118.0600000000004</v>
      </c>
    </row>
    <row r="105" spans="2:8" ht="13.8">
      <c r="B105" s="156" t="s">
        <v>366</v>
      </c>
      <c r="C105" s="8" t="s">
        <v>385</v>
      </c>
      <c r="D105" s="1" t="s">
        <v>17</v>
      </c>
      <c r="E105" s="1" t="str">
        <f>IF(ISERROR(VLOOKUP(D105,Categorias!A:B,2,0)),"",VLOOKUP(D105,Categorias!A:B,2,0))</f>
        <v>GASTOS VARIÁVEIS</v>
      </c>
      <c r="F105" s="80"/>
      <c r="G105" s="100">
        <v>0.11</v>
      </c>
      <c r="H105" s="73">
        <f t="shared" si="1"/>
        <v>1117.9500000000005</v>
      </c>
    </row>
    <row r="106" spans="2:8" ht="13.8">
      <c r="B106" s="156" t="s">
        <v>366</v>
      </c>
      <c r="C106" s="8" t="s">
        <v>385</v>
      </c>
      <c r="D106" s="1" t="s">
        <v>17</v>
      </c>
      <c r="E106" s="1" t="str">
        <f>IF(ISERROR(VLOOKUP(D106,Categorias!A:B,2,0)),"",VLOOKUP(D106,Categorias!A:B,2,0))</f>
        <v>GASTOS VARIÁVEIS</v>
      </c>
      <c r="F106" s="80"/>
      <c r="G106" s="100">
        <v>0.28999999999999998</v>
      </c>
      <c r="H106" s="73">
        <f t="shared" si="1"/>
        <v>1117.6600000000005</v>
      </c>
    </row>
    <row r="107" spans="2:8" ht="13.8">
      <c r="B107" s="156" t="s">
        <v>372</v>
      </c>
      <c r="C107" s="8" t="s">
        <v>385</v>
      </c>
      <c r="D107" s="1" t="s">
        <v>17</v>
      </c>
      <c r="E107" s="1" t="str">
        <f>IF(ISERROR(VLOOKUP(D107,Categorias!A:B,2,0)),"",VLOOKUP(D107,Categorias!A:B,2,0))</f>
        <v>GASTOS VARIÁVEIS</v>
      </c>
      <c r="F107" s="80"/>
      <c r="G107" s="100">
        <v>0.28999999999999998</v>
      </c>
      <c r="H107" s="73">
        <f t="shared" si="1"/>
        <v>1117.3700000000006</v>
      </c>
    </row>
    <row r="108" spans="2:8" ht="13.8">
      <c r="B108" s="156" t="s">
        <v>372</v>
      </c>
      <c r="C108" s="8" t="s">
        <v>385</v>
      </c>
      <c r="D108" s="1" t="s">
        <v>17</v>
      </c>
      <c r="E108" s="1" t="str">
        <f>IF(ISERROR(VLOOKUP(D108,Categorias!A:B,2,0)),"",VLOOKUP(D108,Categorias!A:B,2,0))</f>
        <v>GASTOS VARIÁVEIS</v>
      </c>
      <c r="F108" s="80"/>
      <c r="G108" s="100">
        <v>0.09</v>
      </c>
      <c r="H108" s="73">
        <f t="shared" si="1"/>
        <v>1117.2800000000007</v>
      </c>
    </row>
    <row r="109" spans="2:8" ht="13.8">
      <c r="B109" s="156" t="s">
        <v>372</v>
      </c>
      <c r="C109" s="8" t="s">
        <v>384</v>
      </c>
      <c r="D109" s="1" t="s">
        <v>9</v>
      </c>
      <c r="E109" s="1" t="str">
        <f>IF(ISERROR(VLOOKUP(D109,Categorias!A:B,2,0)),"",VLOOKUP(D109,Categorias!A:B,2,0))</f>
        <v>GASTOS VARIÁVEIS</v>
      </c>
      <c r="F109" s="80"/>
      <c r="G109" s="100">
        <v>79</v>
      </c>
      <c r="H109" s="73">
        <f t="shared" si="1"/>
        <v>1038.2800000000007</v>
      </c>
    </row>
    <row r="110" spans="2:8" ht="13.8">
      <c r="B110" s="156" t="s">
        <v>372</v>
      </c>
      <c r="C110" s="8" t="s">
        <v>391</v>
      </c>
      <c r="D110" s="1" t="s">
        <v>68</v>
      </c>
      <c r="E110" s="1" t="str">
        <f>IF(ISERROR(VLOOKUP(D110,Categorias!A:B,2,0)),"",VLOOKUP(D110,Categorias!A:B,2,0))</f>
        <v>NÃO OPERACIONAL</v>
      </c>
      <c r="F110" s="80"/>
      <c r="G110" s="100">
        <v>30</v>
      </c>
      <c r="H110" s="73">
        <f t="shared" si="1"/>
        <v>1008.2800000000007</v>
      </c>
    </row>
    <row r="111" spans="2:8" ht="13.8">
      <c r="B111" s="156" t="s">
        <v>372</v>
      </c>
      <c r="C111" s="8" t="s">
        <v>385</v>
      </c>
      <c r="D111" s="1" t="s">
        <v>17</v>
      </c>
      <c r="E111" s="1" t="str">
        <f>IF(ISERROR(VLOOKUP(D111,Categorias!A:B,2,0)),"",VLOOKUP(D111,Categorias!A:B,2,0))</f>
        <v>GASTOS VARIÁVEIS</v>
      </c>
      <c r="F111" s="80"/>
      <c r="G111" s="100">
        <v>0.24</v>
      </c>
      <c r="H111" s="73">
        <f t="shared" si="1"/>
        <v>1008.0400000000006</v>
      </c>
    </row>
    <row r="112" spans="2:8" ht="13.8">
      <c r="B112" s="156" t="s">
        <v>372</v>
      </c>
      <c r="C112" s="8" t="s">
        <v>390</v>
      </c>
      <c r="D112" s="1" t="s">
        <v>68</v>
      </c>
      <c r="E112" s="1" t="str">
        <f>IF(ISERROR(VLOOKUP(D112,Categorias!A:B,2,0)),"",VLOOKUP(D112,Categorias!A:B,2,0))</f>
        <v>NÃO OPERACIONAL</v>
      </c>
      <c r="F112" s="80"/>
      <c r="G112" s="100">
        <v>25</v>
      </c>
      <c r="H112" s="73">
        <f t="shared" si="1"/>
        <v>983.04000000000065</v>
      </c>
    </row>
    <row r="113" spans="2:8" ht="13.8">
      <c r="B113" s="151">
        <v>46196</v>
      </c>
      <c r="C113" s="8" t="s">
        <v>392</v>
      </c>
      <c r="D113" s="1" t="s">
        <v>2</v>
      </c>
      <c r="E113" s="1" t="str">
        <f>IF(ISERROR(VLOOKUP(D113,Categorias!A:B,2,0)),"",VLOOKUP(D113,Categorias!A:B,2,0))</f>
        <v>GASTOS VARIÁVEIS</v>
      </c>
      <c r="F113" s="80"/>
      <c r="G113" s="100">
        <v>150</v>
      </c>
      <c r="H113" s="73">
        <f t="shared" si="1"/>
        <v>833.04000000000065</v>
      </c>
    </row>
    <row r="114" spans="2:8" ht="13.8">
      <c r="B114" s="157">
        <v>46197</v>
      </c>
      <c r="C114" s="152" t="s">
        <v>395</v>
      </c>
      <c r="D114" s="1" t="s">
        <v>17</v>
      </c>
      <c r="E114" s="1" t="str">
        <f>IF(ISERROR(VLOOKUP(D114,Categorias!A:B,2,0)),"",VLOOKUP(D114,Categorias!A:B,2,0))</f>
        <v>GASTOS VARIÁVEIS</v>
      </c>
      <c r="F114" s="80"/>
      <c r="G114" s="5"/>
      <c r="H114" s="73"/>
    </row>
    <row r="115" spans="2:8" ht="13.8">
      <c r="B115" s="157">
        <v>46197</v>
      </c>
      <c r="C115" s="152" t="s">
        <v>448</v>
      </c>
      <c r="D115" s="1"/>
      <c r="E115" s="1"/>
      <c r="F115" s="80"/>
      <c r="G115" s="5"/>
      <c r="H115" s="73"/>
    </row>
    <row r="116" spans="2:8" ht="13.8">
      <c r="B116" s="157">
        <v>46197</v>
      </c>
      <c r="C116" s="152" t="s">
        <v>395</v>
      </c>
      <c r="D116" s="1"/>
      <c r="E116" s="1"/>
      <c r="F116" s="80"/>
      <c r="G116" s="5"/>
      <c r="H116" s="73"/>
    </row>
    <row r="117" spans="2:8" ht="13.8">
      <c r="B117" s="157">
        <v>46197</v>
      </c>
      <c r="C117" s="152" t="s">
        <v>449</v>
      </c>
      <c r="D117" s="1"/>
      <c r="E117" s="1"/>
      <c r="F117" s="80"/>
      <c r="G117" s="5"/>
      <c r="H117" s="73"/>
    </row>
    <row r="118" spans="2:8" ht="13.8">
      <c r="B118" s="157">
        <v>46197</v>
      </c>
      <c r="C118" s="152" t="s">
        <v>395</v>
      </c>
      <c r="D118" s="1"/>
      <c r="E118" s="1"/>
      <c r="F118" s="80"/>
      <c r="G118" s="5"/>
      <c r="H118" s="73"/>
    </row>
    <row r="119" spans="2:8" ht="13.8">
      <c r="B119" s="157">
        <v>46197</v>
      </c>
      <c r="C119" s="152" t="s">
        <v>450</v>
      </c>
      <c r="D119" s="1"/>
      <c r="E119" s="1"/>
      <c r="F119" s="80"/>
      <c r="G119" s="5"/>
      <c r="H119" s="73"/>
    </row>
    <row r="120" spans="2:8" ht="13.8">
      <c r="B120" s="157">
        <v>46197</v>
      </c>
      <c r="C120" s="152" t="s">
        <v>395</v>
      </c>
      <c r="D120" s="1"/>
      <c r="E120" s="1"/>
      <c r="F120" s="80"/>
      <c r="G120" s="5"/>
      <c r="H120" s="73"/>
    </row>
    <row r="121" spans="2:8" ht="13.8">
      <c r="B121" s="157">
        <v>46197</v>
      </c>
      <c r="C121" s="152" t="s">
        <v>451</v>
      </c>
      <c r="D121" s="1"/>
      <c r="E121" s="1"/>
      <c r="F121" s="80"/>
      <c r="G121" s="5"/>
      <c r="H121" s="73"/>
    </row>
    <row r="122" spans="2:8" ht="13.8">
      <c r="B122" s="157">
        <v>46197</v>
      </c>
      <c r="C122" s="152" t="s">
        <v>395</v>
      </c>
      <c r="D122" s="1"/>
      <c r="E122" s="1"/>
      <c r="F122" s="80"/>
      <c r="G122" s="5"/>
      <c r="H122" s="73"/>
    </row>
    <row r="123" spans="2:8" ht="13.8">
      <c r="B123" s="157">
        <v>46197</v>
      </c>
      <c r="C123" s="152" t="s">
        <v>445</v>
      </c>
      <c r="D123" s="1"/>
      <c r="E123" s="1"/>
      <c r="F123" s="80"/>
      <c r="G123" s="5"/>
      <c r="H123" s="73"/>
    </row>
    <row r="124" spans="2:8" ht="13.8">
      <c r="B124" s="157">
        <v>46197</v>
      </c>
      <c r="C124" s="152" t="s">
        <v>395</v>
      </c>
      <c r="D124" s="1"/>
      <c r="E124" s="1"/>
      <c r="F124" s="80"/>
      <c r="G124" s="5"/>
      <c r="H124" s="73"/>
    </row>
    <row r="125" spans="2:8" ht="13.8">
      <c r="B125" s="157">
        <v>46197</v>
      </c>
      <c r="C125" s="152" t="s">
        <v>452</v>
      </c>
      <c r="D125" s="1"/>
      <c r="E125" s="1"/>
      <c r="F125" s="80"/>
      <c r="G125" s="5"/>
      <c r="H125" s="73"/>
    </row>
    <row r="126" spans="2:8" ht="13.8">
      <c r="B126" s="157">
        <v>46197</v>
      </c>
      <c r="C126" s="152" t="s">
        <v>395</v>
      </c>
      <c r="D126" s="1"/>
      <c r="E126" s="1"/>
      <c r="F126" s="80"/>
      <c r="G126" s="5"/>
      <c r="H126" s="73"/>
    </row>
    <row r="127" spans="2:8" ht="13.8">
      <c r="B127" s="157">
        <v>46197</v>
      </c>
      <c r="C127" s="152" t="s">
        <v>453</v>
      </c>
      <c r="D127" s="1"/>
      <c r="E127" s="1"/>
      <c r="F127" s="80"/>
      <c r="G127" s="5"/>
      <c r="H127" s="73"/>
    </row>
    <row r="128" spans="2:8" ht="13.8">
      <c r="B128" s="157">
        <v>46197</v>
      </c>
      <c r="C128" s="152" t="s">
        <v>395</v>
      </c>
      <c r="D128" s="1"/>
      <c r="E128" s="1"/>
      <c r="F128" s="80"/>
      <c r="G128" s="5"/>
      <c r="H128" s="73"/>
    </row>
    <row r="129" spans="2:8" ht="13.8">
      <c r="B129" s="157">
        <v>46197</v>
      </c>
      <c r="C129" s="152" t="s">
        <v>454</v>
      </c>
      <c r="D129" s="1"/>
      <c r="E129" s="1"/>
      <c r="F129" s="80"/>
      <c r="G129" s="5"/>
      <c r="H129" s="73"/>
    </row>
    <row r="130" spans="2:8" ht="13.8">
      <c r="B130" s="157">
        <v>46197</v>
      </c>
      <c r="C130" s="152" t="s">
        <v>395</v>
      </c>
      <c r="D130" s="1"/>
      <c r="E130" s="1"/>
      <c r="F130" s="80"/>
      <c r="G130" s="5"/>
      <c r="H130" s="73"/>
    </row>
    <row r="131" spans="2:8" ht="13.8">
      <c r="B131" s="157">
        <v>46197</v>
      </c>
      <c r="C131" s="152" t="s">
        <v>455</v>
      </c>
      <c r="D131" s="1"/>
      <c r="E131" s="1"/>
      <c r="F131" s="80"/>
      <c r="G131" s="5"/>
      <c r="H131" s="73"/>
    </row>
    <row r="132" spans="2:8" ht="13.8">
      <c r="B132" s="157">
        <v>46197</v>
      </c>
      <c r="C132" s="152" t="s">
        <v>395</v>
      </c>
      <c r="D132" s="1"/>
      <c r="E132" s="1"/>
      <c r="F132" s="80"/>
      <c r="G132" s="5"/>
      <c r="H132" s="73"/>
    </row>
    <row r="133" spans="2:8" ht="13.8">
      <c r="B133" s="157">
        <v>46197</v>
      </c>
      <c r="C133" s="152" t="s">
        <v>456</v>
      </c>
      <c r="D133" s="1"/>
      <c r="E133" s="1"/>
      <c r="F133" s="80"/>
      <c r="G133" s="5"/>
      <c r="H133" s="73"/>
    </row>
    <row r="134" spans="2:8" ht="13.8">
      <c r="B134" s="157">
        <v>46197</v>
      </c>
      <c r="C134" s="152" t="s">
        <v>457</v>
      </c>
      <c r="D134" s="1"/>
      <c r="E134" s="1"/>
      <c r="F134" s="80"/>
      <c r="G134" s="5"/>
      <c r="H134" s="73"/>
    </row>
    <row r="135" spans="2:8" ht="13.8">
      <c r="B135" s="157">
        <v>46197</v>
      </c>
      <c r="C135" s="152" t="s">
        <v>423</v>
      </c>
      <c r="D135" s="1"/>
      <c r="E135" s="1"/>
      <c r="F135" s="80"/>
      <c r="G135" s="5"/>
      <c r="H135" s="73"/>
    </row>
    <row r="136" spans="2:8" ht="13.8">
      <c r="B136" s="157">
        <v>46197</v>
      </c>
      <c r="C136" s="152" t="s">
        <v>395</v>
      </c>
      <c r="D136" s="1"/>
      <c r="E136" s="1"/>
      <c r="F136" s="80"/>
      <c r="G136" s="5"/>
      <c r="H136" s="73"/>
    </row>
    <row r="137" spans="2:8" ht="13.8">
      <c r="B137" s="157">
        <v>46197</v>
      </c>
      <c r="C137" s="152" t="s">
        <v>458</v>
      </c>
      <c r="D137" s="1"/>
      <c r="E137" s="1"/>
      <c r="F137" s="80"/>
      <c r="G137" s="5"/>
      <c r="H137" s="73"/>
    </row>
    <row r="138" spans="2:8" ht="13.8">
      <c r="B138" s="157">
        <v>46197</v>
      </c>
      <c r="C138" s="152" t="s">
        <v>395</v>
      </c>
      <c r="D138" s="1"/>
      <c r="E138" s="1"/>
      <c r="F138" s="80"/>
      <c r="G138" s="5"/>
      <c r="H138" s="73"/>
    </row>
    <row r="139" spans="2:8" ht="13.8">
      <c r="B139" s="157">
        <v>46197</v>
      </c>
      <c r="C139" s="152" t="s">
        <v>459</v>
      </c>
      <c r="D139" s="1"/>
      <c r="E139" s="1"/>
      <c r="F139" s="80"/>
      <c r="G139" s="5"/>
      <c r="H139" s="73"/>
    </row>
    <row r="140" spans="2:8" ht="13.8">
      <c r="B140" s="157">
        <v>46197</v>
      </c>
      <c r="C140" s="152" t="s">
        <v>395</v>
      </c>
      <c r="D140" s="1"/>
      <c r="E140" s="1"/>
      <c r="F140" s="80"/>
      <c r="G140" s="5"/>
      <c r="H140" s="73"/>
    </row>
    <row r="141" spans="2:8" ht="13.8">
      <c r="B141" s="157">
        <v>46197</v>
      </c>
      <c r="C141" s="152" t="s">
        <v>460</v>
      </c>
      <c r="D141" s="1"/>
      <c r="E141" s="1"/>
      <c r="F141" s="80"/>
      <c r="G141" s="5"/>
      <c r="H141" s="73"/>
    </row>
    <row r="142" spans="2:8" ht="13.8">
      <c r="B142" s="157">
        <v>46197</v>
      </c>
      <c r="C142" s="152" t="s">
        <v>461</v>
      </c>
      <c r="D142" s="1"/>
      <c r="E142" s="1"/>
      <c r="F142" s="80"/>
      <c r="G142" s="5"/>
      <c r="H142" s="73"/>
    </row>
    <row r="143" spans="2:8" ht="13.8">
      <c r="B143" s="157">
        <v>46197</v>
      </c>
      <c r="C143" s="152" t="s">
        <v>462</v>
      </c>
      <c r="D143" s="1"/>
      <c r="E143" s="1"/>
      <c r="F143" s="80"/>
      <c r="G143" s="5"/>
      <c r="H143" s="73"/>
    </row>
    <row r="144" spans="2:8" ht="13.8">
      <c r="B144" s="157">
        <v>46197</v>
      </c>
      <c r="C144" s="152" t="s">
        <v>395</v>
      </c>
      <c r="D144" s="1"/>
      <c r="E144" s="1"/>
      <c r="F144" s="80"/>
      <c r="G144" s="5"/>
      <c r="H144" s="73"/>
    </row>
    <row r="145" spans="2:8" ht="13.8">
      <c r="B145" s="157">
        <v>46197</v>
      </c>
      <c r="C145" s="152" t="s">
        <v>463</v>
      </c>
      <c r="D145" s="1"/>
      <c r="E145" s="1"/>
      <c r="F145" s="80"/>
      <c r="G145" s="5"/>
      <c r="H145" s="73"/>
    </row>
    <row r="146" spans="2:8" ht="13.8">
      <c r="B146" s="157">
        <v>46197</v>
      </c>
      <c r="C146" s="152" t="s">
        <v>464</v>
      </c>
      <c r="D146" s="1"/>
      <c r="E146" s="1"/>
      <c r="F146" s="80"/>
      <c r="G146" s="5"/>
      <c r="H146" s="73"/>
    </row>
    <row r="147" spans="2:8" ht="13.8">
      <c r="B147" s="157">
        <v>46197</v>
      </c>
      <c r="C147" s="152" t="s">
        <v>465</v>
      </c>
      <c r="D147" s="1"/>
      <c r="E147" s="1"/>
      <c r="F147" s="80"/>
      <c r="G147" s="5"/>
      <c r="H147" s="73"/>
    </row>
    <row r="148" spans="2:8" ht="13.8">
      <c r="B148" s="157">
        <v>46198</v>
      </c>
      <c r="C148" s="152" t="s">
        <v>395</v>
      </c>
      <c r="D148" s="1"/>
      <c r="E148" s="1"/>
      <c r="F148" s="80"/>
      <c r="G148" s="5"/>
      <c r="H148" s="73"/>
    </row>
    <row r="149" spans="2:8" ht="13.8">
      <c r="B149" s="157">
        <v>46198</v>
      </c>
      <c r="C149" s="152" t="s">
        <v>444</v>
      </c>
      <c r="D149" s="1"/>
      <c r="E149" s="1"/>
      <c r="F149" s="80"/>
      <c r="G149" s="5"/>
      <c r="H149" s="73"/>
    </row>
    <row r="150" spans="2:8" ht="13.8">
      <c r="B150" s="157">
        <v>46198</v>
      </c>
      <c r="C150" s="152" t="s">
        <v>445</v>
      </c>
      <c r="D150" s="1"/>
      <c r="E150" s="1"/>
      <c r="F150" s="80"/>
      <c r="G150" s="5"/>
      <c r="H150" s="73"/>
    </row>
    <row r="151" spans="2:8" ht="13.8">
      <c r="B151" s="157">
        <v>46198</v>
      </c>
      <c r="C151" s="152" t="s">
        <v>409</v>
      </c>
      <c r="D151" s="1"/>
      <c r="E151" s="1"/>
      <c r="F151" s="80"/>
      <c r="G151" s="5"/>
      <c r="H151" s="73"/>
    </row>
    <row r="152" spans="2:8" ht="13.8">
      <c r="B152" s="157">
        <v>46198</v>
      </c>
      <c r="C152" s="152" t="s">
        <v>421</v>
      </c>
      <c r="D152" s="1"/>
      <c r="E152" s="1"/>
      <c r="F152" s="80"/>
      <c r="G152" s="5"/>
      <c r="H152" s="73"/>
    </row>
    <row r="153" spans="2:8" ht="13.8">
      <c r="B153" s="157">
        <v>46198</v>
      </c>
      <c r="C153" s="152" t="s">
        <v>410</v>
      </c>
      <c r="D153" s="1"/>
      <c r="E153" s="1"/>
      <c r="F153" s="80"/>
      <c r="G153" s="5"/>
      <c r="H153" s="73"/>
    </row>
    <row r="154" spans="2:8" ht="13.8">
      <c r="B154" s="157">
        <v>46198</v>
      </c>
      <c r="C154" s="152" t="s">
        <v>395</v>
      </c>
      <c r="D154" s="1"/>
      <c r="E154" s="1"/>
      <c r="F154" s="80"/>
      <c r="G154" s="5"/>
      <c r="H154" s="73"/>
    </row>
    <row r="155" spans="2:8" ht="13.8">
      <c r="B155" s="157">
        <v>46198</v>
      </c>
      <c r="C155" s="152" t="s">
        <v>446</v>
      </c>
      <c r="D155" s="1"/>
      <c r="E155" s="1"/>
      <c r="F155" s="80"/>
      <c r="G155" s="5"/>
      <c r="H155" s="73"/>
    </row>
    <row r="156" spans="2:8" ht="13.8">
      <c r="B156" s="157">
        <v>46198</v>
      </c>
      <c r="C156" s="152" t="s">
        <v>395</v>
      </c>
      <c r="D156" s="1"/>
      <c r="E156" s="1"/>
      <c r="F156" s="80"/>
      <c r="G156" s="5"/>
      <c r="H156" s="73"/>
    </row>
    <row r="157" spans="2:8" ht="13.8">
      <c r="B157" s="157">
        <v>46198</v>
      </c>
      <c r="C157" s="152" t="s">
        <v>447</v>
      </c>
      <c r="D157" s="1"/>
      <c r="E157" s="1"/>
      <c r="F157" s="80"/>
      <c r="G157" s="5"/>
      <c r="H157" s="73"/>
    </row>
    <row r="158" spans="2:8" ht="13.8">
      <c r="B158" s="157">
        <v>46199</v>
      </c>
      <c r="C158" s="152" t="s">
        <v>437</v>
      </c>
      <c r="D158" s="1"/>
      <c r="E158" s="1"/>
      <c r="F158" s="80"/>
      <c r="G158" s="5"/>
      <c r="H158" s="73"/>
    </row>
    <row r="159" spans="2:8" ht="13.8">
      <c r="B159" s="157">
        <v>46199</v>
      </c>
      <c r="C159" s="152" t="s">
        <v>402</v>
      </c>
      <c r="D159" s="1"/>
      <c r="E159" s="1"/>
      <c r="F159" s="80"/>
      <c r="G159" s="5"/>
      <c r="H159" s="73"/>
    </row>
    <row r="160" spans="2:8" ht="13.8">
      <c r="B160" s="157">
        <v>46199</v>
      </c>
      <c r="C160" s="152" t="s">
        <v>438</v>
      </c>
      <c r="D160" s="1"/>
      <c r="E160" s="1"/>
      <c r="F160" s="80"/>
      <c r="G160" s="5"/>
      <c r="H160" s="73"/>
    </row>
    <row r="161" spans="2:8" ht="13.8">
      <c r="B161" s="157">
        <v>46199</v>
      </c>
      <c r="C161" s="152" t="s">
        <v>439</v>
      </c>
      <c r="D161" s="1"/>
      <c r="E161" s="1"/>
      <c r="F161" s="80"/>
      <c r="G161" s="5"/>
      <c r="H161" s="73"/>
    </row>
    <row r="162" spans="2:8" ht="13.8">
      <c r="B162" s="157">
        <v>46199</v>
      </c>
      <c r="C162" s="152" t="s">
        <v>427</v>
      </c>
      <c r="D162" s="1"/>
      <c r="E162" s="1"/>
      <c r="F162" s="80"/>
      <c r="G162" s="5"/>
      <c r="H162" s="73"/>
    </row>
    <row r="163" spans="2:8" ht="13.8">
      <c r="B163" s="157">
        <v>46199</v>
      </c>
      <c r="C163" s="152" t="s">
        <v>440</v>
      </c>
      <c r="D163" s="1"/>
      <c r="E163" s="1"/>
      <c r="F163" s="80"/>
      <c r="G163" s="5"/>
      <c r="H163" s="73"/>
    </row>
    <row r="164" spans="2:8" ht="13.8">
      <c r="B164" s="157">
        <v>46199</v>
      </c>
      <c r="C164" s="152" t="s">
        <v>403</v>
      </c>
      <c r="D164" s="1"/>
      <c r="E164" s="1"/>
      <c r="F164" s="80"/>
      <c r="G164" s="5"/>
      <c r="H164" s="73"/>
    </row>
    <row r="165" spans="2:8" ht="13.8">
      <c r="B165" s="157">
        <v>46199</v>
      </c>
      <c r="C165" s="152" t="s">
        <v>441</v>
      </c>
      <c r="D165" s="1"/>
      <c r="E165" s="1"/>
      <c r="F165" s="80"/>
      <c r="G165" s="5"/>
      <c r="H165" s="73"/>
    </row>
    <row r="166" spans="2:8" ht="13.8">
      <c r="B166" s="157">
        <v>46199</v>
      </c>
      <c r="C166" s="152" t="s">
        <v>395</v>
      </c>
      <c r="D166" s="1"/>
      <c r="E166" s="1"/>
      <c r="F166" s="80"/>
      <c r="G166" s="5"/>
      <c r="H166" s="73"/>
    </row>
    <row r="167" spans="2:8" ht="13.8">
      <c r="B167" s="157">
        <v>46199</v>
      </c>
      <c r="C167" s="152" t="s">
        <v>442</v>
      </c>
      <c r="D167" s="1"/>
      <c r="E167" s="1"/>
      <c r="F167" s="80"/>
      <c r="G167" s="5"/>
      <c r="H167" s="73"/>
    </row>
    <row r="168" spans="2:8" ht="13.8">
      <c r="B168" s="157">
        <v>46199</v>
      </c>
      <c r="C168" s="152" t="s">
        <v>409</v>
      </c>
      <c r="D168" s="1"/>
      <c r="E168" s="1"/>
      <c r="F168" s="80"/>
      <c r="G168" s="5"/>
      <c r="H168" s="73"/>
    </row>
    <row r="169" spans="2:8" ht="13.8">
      <c r="B169" s="157">
        <v>46199</v>
      </c>
      <c r="C169" s="152" t="s">
        <v>395</v>
      </c>
      <c r="D169" s="1"/>
      <c r="E169" s="1"/>
      <c r="F169" s="80"/>
      <c r="G169" s="5"/>
      <c r="H169" s="73"/>
    </row>
    <row r="170" spans="2:8" ht="13.8">
      <c r="B170" s="157">
        <v>46199</v>
      </c>
      <c r="C170" s="152" t="s">
        <v>443</v>
      </c>
      <c r="D170" s="1"/>
      <c r="E170" s="1"/>
      <c r="F170" s="80"/>
      <c r="G170" s="5"/>
      <c r="H170" s="73"/>
    </row>
    <row r="171" spans="2:8" ht="13.8">
      <c r="B171" s="157">
        <v>46200</v>
      </c>
      <c r="C171" s="152" t="s">
        <v>395</v>
      </c>
      <c r="D171" s="1"/>
      <c r="E171" s="1"/>
      <c r="F171" s="80"/>
      <c r="G171" s="5"/>
      <c r="H171" s="73"/>
    </row>
    <row r="172" spans="2:8" ht="13.8">
      <c r="B172" s="157">
        <v>46200</v>
      </c>
      <c r="C172" s="152" t="s">
        <v>433</v>
      </c>
      <c r="D172" s="1"/>
      <c r="E172" s="1"/>
      <c r="F172" s="80"/>
      <c r="G172" s="5"/>
      <c r="H172" s="73"/>
    </row>
    <row r="173" spans="2:8" ht="13.8">
      <c r="B173" s="157">
        <v>46200</v>
      </c>
      <c r="C173" s="152" t="s">
        <v>395</v>
      </c>
      <c r="D173" s="1"/>
      <c r="E173" s="1"/>
      <c r="F173" s="80"/>
      <c r="G173" s="5"/>
      <c r="H173" s="73"/>
    </row>
    <row r="174" spans="2:8" ht="13.8">
      <c r="B174" s="157">
        <v>46200</v>
      </c>
      <c r="C174" s="152" t="s">
        <v>434</v>
      </c>
      <c r="D174" s="1"/>
      <c r="E174" s="1"/>
      <c r="F174" s="80"/>
      <c r="G174" s="5"/>
      <c r="H174" s="73"/>
    </row>
    <row r="175" spans="2:8" ht="13.8">
      <c r="B175" s="157">
        <v>46200</v>
      </c>
      <c r="C175" s="152" t="s">
        <v>395</v>
      </c>
      <c r="D175" s="1"/>
      <c r="E175" s="1"/>
      <c r="F175" s="80"/>
      <c r="G175" s="5"/>
      <c r="H175" s="73"/>
    </row>
    <row r="176" spans="2:8" ht="13.8">
      <c r="B176" s="157">
        <v>46200</v>
      </c>
      <c r="C176" s="152" t="s">
        <v>435</v>
      </c>
      <c r="D176" s="1"/>
      <c r="E176" s="1"/>
      <c r="F176" s="80"/>
      <c r="G176" s="5"/>
      <c r="H176" s="73"/>
    </row>
    <row r="177" spans="2:8" ht="13.8">
      <c r="B177" s="157">
        <v>46200</v>
      </c>
      <c r="C177" s="152" t="s">
        <v>395</v>
      </c>
      <c r="D177" s="1"/>
      <c r="E177" s="1"/>
      <c r="F177" s="80"/>
      <c r="G177" s="5"/>
      <c r="H177" s="73"/>
    </row>
    <row r="178" spans="2:8" ht="13.8">
      <c r="B178" s="157">
        <v>46200</v>
      </c>
      <c r="C178" s="152" t="s">
        <v>435</v>
      </c>
      <c r="D178" s="1"/>
      <c r="E178" s="1"/>
      <c r="F178" s="80"/>
      <c r="G178" s="5"/>
      <c r="H178" s="73"/>
    </row>
    <row r="179" spans="2:8" ht="13.8">
      <c r="B179" s="157">
        <v>46200</v>
      </c>
      <c r="C179" s="152" t="s">
        <v>436</v>
      </c>
      <c r="D179" s="1"/>
      <c r="E179" s="1"/>
      <c r="F179" s="80"/>
      <c r="G179" s="5"/>
      <c r="H179" s="73"/>
    </row>
    <row r="180" spans="2:8" ht="13.8">
      <c r="B180" s="157">
        <v>46200</v>
      </c>
      <c r="C180" s="152" t="s">
        <v>403</v>
      </c>
      <c r="D180" s="1"/>
      <c r="E180" s="1"/>
      <c r="F180" s="80"/>
      <c r="G180" s="5"/>
      <c r="H180" s="73"/>
    </row>
    <row r="181" spans="2:8" ht="13.8">
      <c r="B181" s="157">
        <v>46200</v>
      </c>
      <c r="C181" s="152" t="s">
        <v>428</v>
      </c>
      <c r="D181" s="1"/>
      <c r="E181" s="1"/>
      <c r="F181" s="80"/>
      <c r="G181" s="5"/>
      <c r="H181" s="73"/>
    </row>
    <row r="182" spans="2:8" ht="13.8">
      <c r="B182" s="157">
        <v>46201</v>
      </c>
      <c r="C182" s="152" t="s">
        <v>395</v>
      </c>
      <c r="D182" s="1"/>
      <c r="E182" s="1"/>
      <c r="F182" s="80"/>
      <c r="G182" s="5"/>
      <c r="H182" s="73"/>
    </row>
    <row r="183" spans="2:8" ht="13.8">
      <c r="B183" s="157">
        <v>46201</v>
      </c>
      <c r="C183" s="152" t="s">
        <v>422</v>
      </c>
      <c r="D183" s="1"/>
      <c r="E183" s="1"/>
      <c r="F183" s="80"/>
      <c r="G183" s="5"/>
      <c r="H183" s="73"/>
    </row>
    <row r="184" spans="2:8" ht="13.8">
      <c r="B184" s="157">
        <v>46201</v>
      </c>
      <c r="C184" s="152" t="s">
        <v>423</v>
      </c>
      <c r="D184" s="1"/>
      <c r="E184" s="1"/>
      <c r="F184" s="80"/>
      <c r="G184" s="5"/>
      <c r="H184" s="73"/>
    </row>
    <row r="185" spans="2:8" ht="13.8">
      <c r="B185" s="157">
        <v>46201</v>
      </c>
      <c r="C185" s="152" t="s">
        <v>424</v>
      </c>
      <c r="D185" s="1"/>
      <c r="E185" s="1"/>
      <c r="F185" s="80"/>
      <c r="G185" s="5"/>
      <c r="H185" s="73"/>
    </row>
    <row r="186" spans="2:8" ht="13.8">
      <c r="B186" s="157">
        <v>46201</v>
      </c>
      <c r="C186" s="152" t="s">
        <v>395</v>
      </c>
      <c r="D186" s="1"/>
      <c r="E186" s="1"/>
      <c r="F186" s="80"/>
      <c r="G186" s="5"/>
      <c r="H186" s="73"/>
    </row>
    <row r="187" spans="2:8" ht="13.8">
      <c r="B187" s="157">
        <v>46201</v>
      </c>
      <c r="C187" s="152" t="s">
        <v>425</v>
      </c>
      <c r="D187" s="1"/>
      <c r="E187" s="1"/>
      <c r="F187" s="80"/>
      <c r="G187" s="5"/>
      <c r="H187" s="73"/>
    </row>
    <row r="188" spans="2:8" ht="13.8">
      <c r="B188" s="157">
        <v>46201</v>
      </c>
      <c r="C188" s="152" t="s">
        <v>426</v>
      </c>
      <c r="D188" s="1"/>
      <c r="E188" s="1"/>
      <c r="F188" s="80"/>
      <c r="G188" s="5"/>
      <c r="H188" s="73"/>
    </row>
    <row r="189" spans="2:8" ht="13.8">
      <c r="B189" s="157">
        <v>46201</v>
      </c>
      <c r="C189" s="152" t="s">
        <v>427</v>
      </c>
      <c r="D189" s="1"/>
      <c r="E189" s="1"/>
      <c r="F189" s="80"/>
      <c r="G189" s="5"/>
      <c r="H189" s="73"/>
    </row>
    <row r="190" spans="2:8" ht="13.8">
      <c r="B190" s="157">
        <v>46201</v>
      </c>
      <c r="C190" s="152" t="s">
        <v>428</v>
      </c>
      <c r="D190" s="1"/>
      <c r="E190" s="1"/>
      <c r="F190" s="80"/>
      <c r="G190" s="5"/>
      <c r="H190" s="73"/>
    </row>
    <row r="191" spans="2:8" ht="13.8">
      <c r="B191" s="157">
        <v>46201</v>
      </c>
      <c r="C191" s="152" t="s">
        <v>429</v>
      </c>
      <c r="D191" s="1"/>
      <c r="E191" s="1"/>
      <c r="F191" s="80"/>
      <c r="G191" s="5"/>
      <c r="H191" s="73"/>
    </row>
    <row r="192" spans="2:8" ht="13.8">
      <c r="B192" s="157">
        <v>46201</v>
      </c>
      <c r="C192" s="152" t="s">
        <v>430</v>
      </c>
      <c r="D192" s="1"/>
      <c r="E192" s="1"/>
      <c r="F192" s="80"/>
      <c r="G192" s="5"/>
      <c r="H192" s="73"/>
    </row>
    <row r="193" spans="2:8" ht="13.8">
      <c r="B193" s="157">
        <v>46201</v>
      </c>
      <c r="C193" s="152" t="s">
        <v>431</v>
      </c>
      <c r="D193" s="1"/>
      <c r="E193" s="1"/>
      <c r="F193" s="80"/>
      <c r="G193" s="5"/>
      <c r="H193" s="73"/>
    </row>
    <row r="194" spans="2:8" ht="13.8">
      <c r="B194" s="157">
        <v>46201</v>
      </c>
      <c r="C194" s="152" t="s">
        <v>432</v>
      </c>
      <c r="D194" s="1"/>
      <c r="E194" s="1"/>
      <c r="F194" s="80"/>
      <c r="G194" s="5"/>
      <c r="H194" s="73"/>
    </row>
    <row r="195" spans="2:8" ht="13.8">
      <c r="B195" s="157">
        <v>46202</v>
      </c>
      <c r="C195" s="152" t="s">
        <v>395</v>
      </c>
      <c r="D195" s="1"/>
      <c r="E195" s="1"/>
      <c r="F195" s="80"/>
      <c r="G195" s="5"/>
      <c r="H195" s="73"/>
    </row>
    <row r="196" spans="2:8" ht="13.8">
      <c r="B196" s="157">
        <v>46202</v>
      </c>
      <c r="C196" s="152" t="s">
        <v>411</v>
      </c>
      <c r="D196" s="1"/>
      <c r="E196" s="1"/>
      <c r="F196" s="80"/>
      <c r="G196" s="5"/>
      <c r="H196" s="73"/>
    </row>
    <row r="197" spans="2:8" ht="13.8">
      <c r="B197" s="157">
        <v>46202</v>
      </c>
      <c r="C197" s="152" t="s">
        <v>395</v>
      </c>
      <c r="D197" s="1"/>
      <c r="E197" s="1"/>
      <c r="F197" s="80"/>
      <c r="G197" s="5"/>
      <c r="H197" s="73"/>
    </row>
    <row r="198" spans="2:8" ht="13.8">
      <c r="B198" s="157">
        <v>46202</v>
      </c>
      <c r="C198" s="152" t="s">
        <v>412</v>
      </c>
      <c r="D198" s="1"/>
      <c r="E198" s="1"/>
      <c r="F198" s="80"/>
      <c r="G198" s="5"/>
      <c r="H198" s="73"/>
    </row>
    <row r="199" spans="2:8" ht="13.8">
      <c r="B199" s="157">
        <v>46202</v>
      </c>
      <c r="C199" s="152" t="s">
        <v>395</v>
      </c>
      <c r="D199" s="1"/>
      <c r="E199" s="1"/>
      <c r="F199" s="80"/>
      <c r="G199" s="5"/>
      <c r="H199" s="73"/>
    </row>
    <row r="200" spans="2:8" ht="13.8">
      <c r="B200" s="157">
        <v>46202</v>
      </c>
      <c r="C200" s="152" t="s">
        <v>413</v>
      </c>
      <c r="D200" s="1"/>
      <c r="E200" s="1"/>
      <c r="F200" s="80"/>
      <c r="G200" s="5"/>
      <c r="H200" s="73"/>
    </row>
    <row r="201" spans="2:8" ht="13.8">
      <c r="B201" s="157">
        <v>46202</v>
      </c>
      <c r="C201" s="152" t="s">
        <v>395</v>
      </c>
      <c r="D201" s="1"/>
      <c r="E201" s="1"/>
      <c r="F201" s="80"/>
      <c r="G201" s="5"/>
      <c r="H201" s="73"/>
    </row>
    <row r="202" spans="2:8" ht="13.8">
      <c r="B202" s="157">
        <v>46202</v>
      </c>
      <c r="C202" s="152" t="s">
        <v>414</v>
      </c>
      <c r="D202" s="152"/>
      <c r="E202" s="1"/>
      <c r="F202" s="80"/>
      <c r="G202" s="5"/>
      <c r="H202" s="73"/>
    </row>
    <row r="203" spans="2:8" ht="13.8">
      <c r="B203" s="157">
        <v>46202</v>
      </c>
      <c r="C203" s="152" t="s">
        <v>395</v>
      </c>
      <c r="D203" s="152"/>
      <c r="E203" s="1"/>
      <c r="F203" s="80"/>
      <c r="G203" s="5"/>
      <c r="H203" s="73"/>
    </row>
    <row r="204" spans="2:8" ht="13.8">
      <c r="B204" s="157">
        <v>46202</v>
      </c>
      <c r="C204" s="152" t="s">
        <v>415</v>
      </c>
      <c r="D204" s="152"/>
      <c r="E204" s="1"/>
      <c r="F204" s="80"/>
      <c r="G204" s="5"/>
      <c r="H204" s="73"/>
    </row>
    <row r="205" spans="2:8" ht="13.8">
      <c r="B205" s="157">
        <v>46202</v>
      </c>
      <c r="C205" s="152" t="s">
        <v>395</v>
      </c>
      <c r="D205" s="152"/>
      <c r="E205" s="1"/>
      <c r="F205" s="80"/>
      <c r="G205" s="5"/>
      <c r="H205" s="73"/>
    </row>
    <row r="206" spans="2:8" ht="13.8">
      <c r="B206" s="157">
        <v>46202</v>
      </c>
      <c r="C206" s="152" t="s">
        <v>416</v>
      </c>
      <c r="D206" s="152"/>
      <c r="E206" s="1"/>
      <c r="F206" s="80"/>
      <c r="G206" s="5"/>
      <c r="H206" s="73"/>
    </row>
    <row r="207" spans="2:8" ht="13.8">
      <c r="B207" s="157">
        <v>46202</v>
      </c>
      <c r="C207" s="152" t="s">
        <v>395</v>
      </c>
      <c r="D207" s="152"/>
      <c r="E207" s="1"/>
      <c r="F207" s="80"/>
      <c r="G207" s="5"/>
      <c r="H207" s="73"/>
    </row>
    <row r="208" spans="2:8" ht="13.8">
      <c r="B208" s="157">
        <v>46202</v>
      </c>
      <c r="C208" s="152" t="s">
        <v>417</v>
      </c>
      <c r="D208" s="152"/>
      <c r="E208" s="1"/>
      <c r="F208" s="80"/>
      <c r="G208" s="5"/>
      <c r="H208" s="73"/>
    </row>
    <row r="209" spans="2:8" ht="13.8">
      <c r="B209" s="157">
        <v>46202</v>
      </c>
      <c r="C209" s="152" t="s">
        <v>418</v>
      </c>
      <c r="D209" s="152"/>
      <c r="E209" s="1"/>
      <c r="F209" s="80"/>
      <c r="G209" s="5"/>
      <c r="H209" s="73"/>
    </row>
    <row r="210" spans="2:8" ht="13.8">
      <c r="B210" s="157">
        <v>46202</v>
      </c>
      <c r="C210" s="152" t="s">
        <v>419</v>
      </c>
      <c r="D210" s="152"/>
      <c r="E210" s="1"/>
      <c r="F210" s="80"/>
      <c r="G210" s="5"/>
      <c r="H210" s="73"/>
    </row>
    <row r="211" spans="2:8" ht="13.8">
      <c r="B211" s="157">
        <v>46202</v>
      </c>
      <c r="C211" s="152" t="s">
        <v>420</v>
      </c>
      <c r="D211" s="152"/>
      <c r="E211" s="1"/>
      <c r="F211" s="80"/>
      <c r="G211" s="5"/>
      <c r="H211" s="73"/>
    </row>
    <row r="212" spans="2:8" ht="13.8">
      <c r="B212" s="157">
        <v>46202</v>
      </c>
      <c r="C212" s="152" t="s">
        <v>408</v>
      </c>
      <c r="D212" s="152"/>
      <c r="E212" s="1"/>
      <c r="F212" s="80"/>
      <c r="G212" s="5"/>
      <c r="H212" s="73"/>
    </row>
    <row r="213" spans="2:8" ht="13.8">
      <c r="B213" s="157">
        <v>46202</v>
      </c>
      <c r="C213" s="152" t="s">
        <v>409</v>
      </c>
      <c r="D213" s="152"/>
      <c r="E213" s="1"/>
      <c r="F213" s="80"/>
      <c r="G213" s="5"/>
      <c r="H213" s="73"/>
    </row>
    <row r="214" spans="2:8" ht="13.8">
      <c r="B214" s="157">
        <v>46202</v>
      </c>
      <c r="C214" s="152" t="s">
        <v>421</v>
      </c>
      <c r="D214" s="152"/>
      <c r="E214" s="1"/>
      <c r="F214" s="80"/>
      <c r="G214" s="5"/>
      <c r="H214" s="73"/>
    </row>
    <row r="215" spans="2:8" ht="13.8">
      <c r="B215" s="157">
        <v>46202</v>
      </c>
      <c r="C215" s="152" t="s">
        <v>410</v>
      </c>
      <c r="D215" s="152"/>
      <c r="E215" s="1"/>
      <c r="F215" s="80"/>
      <c r="G215" s="5"/>
      <c r="H215" s="73"/>
    </row>
    <row r="216" spans="2:8" ht="13.8">
      <c r="B216" s="157">
        <v>46203</v>
      </c>
      <c r="C216" s="152" t="s">
        <v>395</v>
      </c>
      <c r="D216" s="152"/>
      <c r="E216" s="1"/>
      <c r="F216" s="80"/>
      <c r="G216" s="5"/>
      <c r="H216" s="73"/>
    </row>
    <row r="217" spans="2:8" ht="13.8">
      <c r="B217" s="157">
        <v>46203</v>
      </c>
      <c r="C217" s="152" t="s">
        <v>396</v>
      </c>
      <c r="D217" s="152"/>
      <c r="E217" s="1"/>
      <c r="F217" s="80"/>
      <c r="G217" s="5"/>
      <c r="H217" s="73"/>
    </row>
    <row r="218" spans="2:8" ht="13.8">
      <c r="B218" s="157">
        <v>46203</v>
      </c>
      <c r="C218" s="152" t="s">
        <v>397</v>
      </c>
      <c r="D218" s="152"/>
      <c r="E218" s="1"/>
      <c r="F218" s="80"/>
      <c r="G218" s="5"/>
      <c r="H218" s="73"/>
    </row>
    <row r="219" spans="2:8" ht="13.8">
      <c r="B219" s="157">
        <v>46203</v>
      </c>
      <c r="C219" s="152" t="s">
        <v>398</v>
      </c>
      <c r="D219" s="152"/>
      <c r="E219" s="1"/>
      <c r="F219" s="80"/>
      <c r="G219" s="5"/>
      <c r="H219" s="73"/>
    </row>
    <row r="220" spans="2:8" ht="13.8">
      <c r="B220" s="157">
        <v>46203</v>
      </c>
      <c r="C220" s="152" t="s">
        <v>399</v>
      </c>
      <c r="D220" s="152"/>
      <c r="E220" s="1"/>
      <c r="F220" s="80"/>
      <c r="G220" s="5"/>
      <c r="H220" s="73"/>
    </row>
    <row r="221" spans="2:8" ht="13.8">
      <c r="B221" s="157">
        <v>46203</v>
      </c>
      <c r="C221" s="152" t="s">
        <v>400</v>
      </c>
      <c r="D221" s="152"/>
      <c r="E221" s="1"/>
      <c r="F221" s="80"/>
      <c r="G221" s="5"/>
      <c r="H221" s="73"/>
    </row>
    <row r="222" spans="2:8" ht="13.8">
      <c r="B222" s="157">
        <v>46203</v>
      </c>
      <c r="C222" s="152" t="s">
        <v>401</v>
      </c>
      <c r="D222" s="152"/>
      <c r="E222" s="1"/>
      <c r="F222" s="80"/>
      <c r="G222" s="5"/>
      <c r="H222" s="73"/>
    </row>
    <row r="223" spans="2:8" ht="13.8">
      <c r="B223" s="157">
        <v>46203</v>
      </c>
      <c r="C223" s="152" t="s">
        <v>402</v>
      </c>
      <c r="D223" s="152"/>
      <c r="E223" s="1"/>
      <c r="F223" s="80"/>
      <c r="G223" s="5"/>
      <c r="H223" s="73"/>
    </row>
    <row r="224" spans="2:8" ht="13.8">
      <c r="B224" s="157">
        <v>46203</v>
      </c>
      <c r="C224" s="152" t="s">
        <v>403</v>
      </c>
      <c r="D224" s="152"/>
      <c r="E224" s="1"/>
      <c r="F224" s="80"/>
      <c r="G224" s="5"/>
      <c r="H224" s="73"/>
    </row>
    <row r="225" spans="2:8" ht="13.8">
      <c r="B225" s="157">
        <v>46203</v>
      </c>
      <c r="C225" s="152" t="s">
        <v>404</v>
      </c>
      <c r="D225" s="152"/>
      <c r="E225" s="1"/>
      <c r="F225" s="80"/>
      <c r="G225" s="5"/>
      <c r="H225" s="73"/>
    </row>
    <row r="226" spans="2:8" ht="13.8">
      <c r="B226" s="157">
        <v>46203</v>
      </c>
      <c r="C226" s="152" t="s">
        <v>405</v>
      </c>
      <c r="D226" s="152"/>
      <c r="E226" s="1"/>
      <c r="F226" s="80"/>
      <c r="G226" s="5"/>
      <c r="H226" s="73"/>
    </row>
    <row r="227" spans="2:8" ht="13.8">
      <c r="B227" s="157">
        <v>46203</v>
      </c>
      <c r="C227" s="152" t="s">
        <v>406</v>
      </c>
      <c r="D227" s="152"/>
      <c r="E227" s="1"/>
      <c r="F227" s="80"/>
      <c r="G227" s="5"/>
      <c r="H227" s="73"/>
    </row>
    <row r="228" spans="2:8" ht="13.8">
      <c r="B228" s="157">
        <v>46203</v>
      </c>
      <c r="C228" s="152" t="s">
        <v>407</v>
      </c>
      <c r="D228" s="152"/>
      <c r="E228" s="1"/>
      <c r="F228" s="80"/>
      <c r="G228" s="5"/>
      <c r="H228" s="73"/>
    </row>
    <row r="229" spans="2:8" ht="13.8">
      <c r="B229" s="157">
        <v>46203</v>
      </c>
      <c r="C229" s="152" t="s">
        <v>408</v>
      </c>
      <c r="D229" s="152"/>
      <c r="E229" s="1"/>
      <c r="F229" s="80"/>
      <c r="G229" s="5"/>
      <c r="H229" s="73"/>
    </row>
    <row r="230" spans="2:8" ht="13.8">
      <c r="B230" s="157">
        <v>46203</v>
      </c>
      <c r="C230" s="152" t="s">
        <v>409</v>
      </c>
      <c r="D230" s="152"/>
      <c r="E230" s="1"/>
      <c r="F230" s="80"/>
      <c r="G230" s="5"/>
      <c r="H230" s="73"/>
    </row>
    <row r="231" spans="2:8" ht="13.8">
      <c r="B231" s="157">
        <v>46203</v>
      </c>
      <c r="C231" s="152" t="s">
        <v>410</v>
      </c>
      <c r="D231" s="152"/>
      <c r="E231" s="1"/>
      <c r="F231" s="80"/>
      <c r="G231" s="5"/>
      <c r="H231" s="73"/>
    </row>
    <row r="232" spans="2:8" ht="13.8">
      <c r="C232" s="152"/>
      <c r="D232" s="152"/>
      <c r="E232" s="1"/>
      <c r="F232" s="80"/>
      <c r="G232" s="5"/>
      <c r="H232" s="73"/>
    </row>
    <row r="233" spans="2:8" ht="13.8">
      <c r="C233" s="152"/>
      <c r="D233" s="152"/>
      <c r="E233" s="1" t="str">
        <f>IF(ISERROR(VLOOKUP(D233,Categorias!A:B,2,0)),"",VLOOKUP(D233,Categorias!A:B,2,0))</f>
        <v/>
      </c>
      <c r="F233" s="80"/>
      <c r="G233" s="5"/>
      <c r="H233" s="73"/>
    </row>
    <row r="234" spans="2:8" ht="13.8">
      <c r="C234" s="152"/>
      <c r="D234" s="152"/>
      <c r="E234" s="1" t="str">
        <f>IF(ISERROR(VLOOKUP(D234,Categorias!A:B,2,0)),"",VLOOKUP(D234,Categorias!A:B,2,0))</f>
        <v/>
      </c>
      <c r="F234" s="80"/>
      <c r="G234" s="5"/>
      <c r="H234" s="73"/>
    </row>
    <row r="235" spans="2:8" ht="13.8">
      <c r="C235" s="152"/>
      <c r="D235" s="152"/>
      <c r="E235" s="1" t="str">
        <f>IF(ISERROR(VLOOKUP(D235,Categorias!A:B,2,0)),"",VLOOKUP(D235,Categorias!A:B,2,0))</f>
        <v/>
      </c>
      <c r="F235" s="80"/>
      <c r="G235" s="5"/>
      <c r="H235" s="73"/>
    </row>
    <row r="236" spans="2:8" ht="13.8">
      <c r="C236" s="152"/>
      <c r="D236" s="152"/>
      <c r="E236" s="1" t="str">
        <f>IF(ISERROR(VLOOKUP(D236,Categorias!A:B,2,0)),"",VLOOKUP(D236,Categorias!A:B,2,0))</f>
        <v/>
      </c>
      <c r="F236" s="80"/>
      <c r="G236" s="5"/>
      <c r="H236" s="73"/>
    </row>
    <row r="237" spans="2:8" ht="13.8">
      <c r="C237" s="152"/>
      <c r="D237" s="152"/>
      <c r="E237" s="1" t="str">
        <f>IF(ISERROR(VLOOKUP(D237,Categorias!A:B,2,0)),"",VLOOKUP(D237,Categorias!A:B,2,0))</f>
        <v/>
      </c>
      <c r="F237" s="80"/>
      <c r="G237" s="5"/>
      <c r="H237" s="73"/>
    </row>
    <row r="238" spans="2:8" ht="13.8">
      <c r="C238" s="152"/>
      <c r="D238" s="152"/>
      <c r="E238" s="1" t="str">
        <f>IF(ISERROR(VLOOKUP(D238,Categorias!A:B,2,0)),"",VLOOKUP(D238,Categorias!A:B,2,0))</f>
        <v/>
      </c>
      <c r="F238" s="80"/>
      <c r="G238" s="5"/>
      <c r="H238" s="73"/>
    </row>
    <row r="239" spans="2:8" ht="13.8">
      <c r="C239" s="152"/>
      <c r="D239" s="152"/>
      <c r="E239" s="1" t="str">
        <f>IF(ISERROR(VLOOKUP(D239,Categorias!A:B,2,0)),"",VLOOKUP(D239,Categorias!A:B,2,0))</f>
        <v/>
      </c>
      <c r="F239" s="80"/>
      <c r="G239" s="5"/>
      <c r="H239" s="73"/>
    </row>
    <row r="240" spans="2:8" ht="13.8">
      <c r="C240" s="152"/>
      <c r="D240" s="152"/>
      <c r="E240" s="1" t="str">
        <f>IF(ISERROR(VLOOKUP(D240,Categorias!A:B,2,0)),"",VLOOKUP(D240,Categorias!A:B,2,0))</f>
        <v/>
      </c>
      <c r="F240" s="80"/>
      <c r="G240" s="5"/>
      <c r="H240" s="73"/>
    </row>
    <row r="241" spans="3:8" ht="13.8">
      <c r="C241" s="152"/>
      <c r="D241" s="152"/>
      <c r="E241" s="1" t="str">
        <f>IF(ISERROR(VLOOKUP(D241,Categorias!A:B,2,0)),"",VLOOKUP(D241,Categorias!A:B,2,0))</f>
        <v/>
      </c>
      <c r="F241" s="80"/>
      <c r="G241" s="5"/>
      <c r="H241" s="73"/>
    </row>
    <row r="242" spans="3:8" ht="13.8">
      <c r="C242" s="152"/>
      <c r="D242" s="152"/>
      <c r="E242" s="1" t="str">
        <f>IF(ISERROR(VLOOKUP(D242,Categorias!A:B,2,0)),"",VLOOKUP(D242,Categorias!A:B,2,0))</f>
        <v/>
      </c>
      <c r="F242" s="80"/>
      <c r="G242" s="5"/>
      <c r="H242" s="73"/>
    </row>
    <row r="243" spans="3:8" ht="13.8">
      <c r="C243" s="152"/>
      <c r="D243" s="152"/>
      <c r="E243" s="1" t="str">
        <f>IF(ISERROR(VLOOKUP(D243,Categorias!A:B,2,0)),"",VLOOKUP(D243,Categorias!A:B,2,0))</f>
        <v/>
      </c>
      <c r="F243" s="80"/>
      <c r="G243" s="5"/>
      <c r="H243" s="73"/>
    </row>
    <row r="244" spans="3:8" ht="13.8">
      <c r="C244" s="152"/>
      <c r="D244" s="152"/>
      <c r="E244" s="1" t="str">
        <f>IF(ISERROR(VLOOKUP(D244,Categorias!A:B,2,0)),"",VLOOKUP(D244,Categorias!A:B,2,0))</f>
        <v/>
      </c>
      <c r="F244" s="80"/>
      <c r="G244" s="5"/>
      <c r="H244" s="73"/>
    </row>
    <row r="245" spans="3:8" ht="13.8">
      <c r="C245" s="152"/>
      <c r="D245" s="152"/>
      <c r="E245" s="1" t="str">
        <f>IF(ISERROR(VLOOKUP(D245,Categorias!A:B,2,0)),"",VLOOKUP(D245,Categorias!A:B,2,0))</f>
        <v/>
      </c>
      <c r="F245" s="80"/>
      <c r="G245" s="5"/>
      <c r="H245" s="73"/>
    </row>
    <row r="246" spans="3:8" ht="13.8">
      <c r="C246" s="152"/>
      <c r="D246" s="152"/>
      <c r="E246" s="1" t="str">
        <f>IF(ISERROR(VLOOKUP(D246,Categorias!A:B,2,0)),"",VLOOKUP(D246,Categorias!A:B,2,0))</f>
        <v/>
      </c>
      <c r="F246" s="80"/>
      <c r="G246" s="5"/>
      <c r="H246" s="73"/>
    </row>
    <row r="247" spans="3:8" ht="13.8">
      <c r="C247" s="152"/>
      <c r="D247" s="152"/>
      <c r="E247" s="1" t="str">
        <f>IF(ISERROR(VLOOKUP(D247,Categorias!A:B,2,0)),"",VLOOKUP(D247,Categorias!A:B,2,0))</f>
        <v/>
      </c>
      <c r="F247" s="80"/>
      <c r="G247" s="5"/>
      <c r="H247" s="73"/>
    </row>
    <row r="248" spans="3:8" ht="13.8">
      <c r="C248" s="152"/>
      <c r="D248" s="152"/>
      <c r="E248" s="1" t="str">
        <f>IF(ISERROR(VLOOKUP(D248,Categorias!A:B,2,0)),"",VLOOKUP(D248,Categorias!A:B,2,0))</f>
        <v/>
      </c>
      <c r="F248" s="80"/>
      <c r="G248" s="5"/>
      <c r="H248" s="73"/>
    </row>
    <row r="249" spans="3:8" ht="13.8">
      <c r="C249" s="152"/>
      <c r="D249" s="152"/>
      <c r="E249" s="1" t="str">
        <f>IF(ISERROR(VLOOKUP(D249,Categorias!A:B,2,0)),"",VLOOKUP(D249,Categorias!A:B,2,0))</f>
        <v/>
      </c>
      <c r="F249" s="80"/>
      <c r="G249" s="5"/>
      <c r="H249" s="73"/>
    </row>
    <row r="250" spans="3:8" ht="13.8">
      <c r="C250" s="152"/>
      <c r="D250" s="152"/>
      <c r="E250" s="1" t="str">
        <f>IF(ISERROR(VLOOKUP(D250,Categorias!A:B,2,0)),"",VLOOKUP(D250,Categorias!A:B,2,0))</f>
        <v/>
      </c>
      <c r="F250" s="80"/>
      <c r="G250" s="5"/>
      <c r="H250" s="73"/>
    </row>
    <row r="251" spans="3:8" ht="13.8">
      <c r="C251" s="152"/>
      <c r="D251" s="152"/>
      <c r="E251" s="1" t="str">
        <f>IF(ISERROR(VLOOKUP(D251,Categorias!A:B,2,0)),"",VLOOKUP(D251,Categorias!A:B,2,0))</f>
        <v/>
      </c>
      <c r="F251" s="80"/>
      <c r="G251" s="5"/>
      <c r="H251" s="73"/>
    </row>
    <row r="252" spans="3:8" ht="13.8">
      <c r="C252" s="152"/>
      <c r="D252" s="152"/>
      <c r="E252" s="1" t="str">
        <f>IF(ISERROR(VLOOKUP(D252,Categorias!A:B,2,0)),"",VLOOKUP(D252,Categorias!A:B,2,0))</f>
        <v/>
      </c>
      <c r="F252" s="80"/>
      <c r="G252" s="5"/>
      <c r="H252" s="73"/>
    </row>
    <row r="253" spans="3:8" ht="13.8">
      <c r="C253" s="152"/>
      <c r="D253" s="152"/>
      <c r="E253" s="1" t="str">
        <f>IF(ISERROR(VLOOKUP(D253,Categorias!A:B,2,0)),"",VLOOKUP(D253,Categorias!A:B,2,0))</f>
        <v/>
      </c>
      <c r="F253" s="80"/>
      <c r="G253" s="5"/>
      <c r="H253" s="73"/>
    </row>
    <row r="254" spans="3:8" ht="13.8">
      <c r="C254" s="152"/>
      <c r="D254" s="152"/>
      <c r="E254" s="1" t="str">
        <f>IF(ISERROR(VLOOKUP(D254,Categorias!A:B,2,0)),"",VLOOKUP(D254,Categorias!A:B,2,0))</f>
        <v/>
      </c>
      <c r="F254" s="80"/>
      <c r="G254" s="5"/>
      <c r="H254" s="73"/>
    </row>
    <row r="255" spans="3:8" ht="13.8">
      <c r="C255" s="152"/>
      <c r="D255" s="152"/>
      <c r="E255" s="1" t="str">
        <f>IF(ISERROR(VLOOKUP(D255,Categorias!A:B,2,0)),"",VLOOKUP(D255,Categorias!A:B,2,0))</f>
        <v/>
      </c>
      <c r="F255" s="80"/>
      <c r="G255" s="5"/>
      <c r="H255" s="73"/>
    </row>
    <row r="256" spans="3:8" ht="13.8">
      <c r="C256" s="152"/>
      <c r="D256" s="152"/>
      <c r="E256" s="1" t="str">
        <f>IF(ISERROR(VLOOKUP(D256,Categorias!A:B,2,0)),"",VLOOKUP(D256,Categorias!A:B,2,0))</f>
        <v/>
      </c>
      <c r="F256" s="80"/>
      <c r="G256" s="5"/>
      <c r="H256" s="73"/>
    </row>
    <row r="257" spans="3:8" ht="13.8">
      <c r="C257" s="152"/>
      <c r="D257" s="152"/>
      <c r="E257" s="1" t="str">
        <f>IF(ISERROR(VLOOKUP(D257,Categorias!A:B,2,0)),"",VLOOKUP(D257,Categorias!A:B,2,0))</f>
        <v/>
      </c>
      <c r="F257" s="80"/>
      <c r="G257" s="5"/>
      <c r="H257" s="73"/>
    </row>
    <row r="258" spans="3:8" ht="13.8">
      <c r="C258" s="152"/>
      <c r="D258" s="152"/>
      <c r="E258" s="1" t="str">
        <f>IF(ISERROR(VLOOKUP(D258,Categorias!A:B,2,0)),"",VLOOKUP(D258,Categorias!A:B,2,0))</f>
        <v/>
      </c>
      <c r="F258" s="80"/>
      <c r="G258" s="5"/>
      <c r="H258" s="73"/>
    </row>
    <row r="259" spans="3:8" ht="13.8">
      <c r="C259" s="152"/>
      <c r="D259" s="152"/>
      <c r="E259" s="1" t="str">
        <f>IF(ISERROR(VLOOKUP(D259,Categorias!A:B,2,0)),"",VLOOKUP(D259,Categorias!A:B,2,0))</f>
        <v/>
      </c>
      <c r="F259" s="80"/>
      <c r="G259" s="5"/>
      <c r="H259" s="73"/>
    </row>
    <row r="260" spans="3:8" ht="13.8">
      <c r="C260" s="152"/>
      <c r="D260" s="152"/>
      <c r="E260" s="1" t="str">
        <f>IF(ISERROR(VLOOKUP(D260,Categorias!A:B,2,0)),"",VLOOKUP(D260,Categorias!A:B,2,0))</f>
        <v/>
      </c>
      <c r="F260" s="80"/>
      <c r="G260" s="5"/>
      <c r="H260" s="73"/>
    </row>
    <row r="261" spans="3:8" ht="13.8">
      <c r="C261" s="152"/>
      <c r="D261" s="152"/>
      <c r="E261" s="1" t="str">
        <f>IF(ISERROR(VLOOKUP(D261,Categorias!A:B,2,0)),"",VLOOKUP(D261,Categorias!A:B,2,0))</f>
        <v/>
      </c>
      <c r="F261" s="80"/>
      <c r="G261" s="5"/>
      <c r="H261" s="73"/>
    </row>
    <row r="262" spans="3:8" ht="13.8">
      <c r="C262" s="152"/>
      <c r="D262" s="152"/>
      <c r="F262" s="81"/>
      <c r="G262" s="6"/>
      <c r="H262" s="60"/>
    </row>
    <row r="263" spans="3:8" ht="13.8">
      <c r="C263" s="152"/>
      <c r="D263" s="152"/>
      <c r="F263" s="81"/>
      <c r="G263" s="6"/>
      <c r="H263" s="60"/>
    </row>
    <row r="264" spans="3:8" ht="13.8">
      <c r="C264" s="152"/>
      <c r="D264" s="152"/>
      <c r="F264" s="81"/>
      <c r="G264" s="6"/>
      <c r="H264" s="60"/>
    </row>
    <row r="265" spans="3:8" ht="13.8">
      <c r="C265" s="152"/>
      <c r="D265" s="152"/>
      <c r="F265" s="81"/>
      <c r="G265" s="6"/>
      <c r="H265" s="60"/>
    </row>
    <row r="266" spans="3:8" ht="13.8">
      <c r="C266" s="152"/>
      <c r="D266" s="152"/>
      <c r="F266" s="81"/>
      <c r="G266" s="6"/>
      <c r="H266" s="60"/>
    </row>
    <row r="267" spans="3:8" ht="13.8">
      <c r="C267" s="152"/>
      <c r="D267" s="152"/>
      <c r="F267" s="81"/>
      <c r="G267" s="6"/>
      <c r="H267" s="60"/>
    </row>
    <row r="268" spans="3:8" ht="13.8">
      <c r="C268" s="152"/>
      <c r="D268" s="152"/>
      <c r="F268" s="81"/>
      <c r="G268" s="6"/>
      <c r="H268" s="60"/>
    </row>
    <row r="269" spans="3:8" ht="13.8">
      <c r="C269" s="152"/>
      <c r="D269" s="152"/>
      <c r="F269" s="81"/>
      <c r="G269" s="6"/>
      <c r="H269" s="60"/>
    </row>
    <row r="270" spans="3:8" ht="13.8">
      <c r="C270" s="152"/>
      <c r="D270" s="152"/>
      <c r="F270" s="81"/>
      <c r="G270" s="6"/>
      <c r="H270" s="60"/>
    </row>
    <row r="271" spans="3:8" ht="13.8">
      <c r="C271" s="152"/>
      <c r="D271" s="152"/>
      <c r="F271" s="81"/>
      <c r="G271" s="6"/>
      <c r="H271" s="60"/>
    </row>
    <row r="272" spans="3:8" ht="13.8">
      <c r="C272" s="152"/>
      <c r="D272" s="152"/>
      <c r="F272" s="81"/>
      <c r="G272" s="6"/>
      <c r="H272" s="60"/>
    </row>
    <row r="273" spans="3:8" ht="13.8">
      <c r="C273" s="152"/>
      <c r="D273" s="152"/>
      <c r="F273" s="81"/>
      <c r="G273" s="6"/>
      <c r="H273" s="60"/>
    </row>
    <row r="274" spans="3:8" ht="13.8">
      <c r="C274" s="152"/>
      <c r="D274" s="152"/>
      <c r="F274" s="81"/>
      <c r="G274" s="6"/>
      <c r="H274" s="60"/>
    </row>
    <row r="275" spans="3:8" ht="13.8">
      <c r="C275" s="152"/>
      <c r="D275" s="152"/>
      <c r="F275" s="81"/>
      <c r="G275" s="6"/>
      <c r="H275" s="60"/>
    </row>
    <row r="276" spans="3:8" ht="13.8">
      <c r="C276" s="152"/>
      <c r="D276" s="152"/>
      <c r="F276" s="81"/>
      <c r="G276" s="6"/>
      <c r="H276" s="60"/>
    </row>
    <row r="277" spans="3:8" ht="13.8">
      <c r="C277" s="152"/>
      <c r="D277" s="152"/>
      <c r="F277" s="81"/>
      <c r="G277" s="6"/>
      <c r="H277" s="60"/>
    </row>
    <row r="278" spans="3:8" ht="13.8">
      <c r="C278" s="152"/>
      <c r="D278" s="152"/>
      <c r="F278" s="81"/>
      <c r="G278" s="6"/>
      <c r="H278" s="60"/>
    </row>
    <row r="279" spans="3:8" ht="13.8">
      <c r="C279" s="152"/>
      <c r="D279" s="152"/>
      <c r="F279" s="81"/>
      <c r="G279" s="6"/>
      <c r="H279" s="60"/>
    </row>
    <row r="280" spans="3:8" ht="13.8">
      <c r="C280" s="152"/>
      <c r="D280" s="152"/>
      <c r="F280" s="81"/>
      <c r="G280" s="6"/>
      <c r="H280" s="60"/>
    </row>
    <row r="281" spans="3:8" ht="13.8">
      <c r="C281" s="152"/>
      <c r="D281" s="152"/>
      <c r="F281" s="81"/>
      <c r="G281" s="6"/>
      <c r="H281" s="60"/>
    </row>
    <row r="282" spans="3:8" ht="13.8">
      <c r="C282" s="152"/>
      <c r="D282" s="152"/>
      <c r="F282" s="81"/>
      <c r="G282" s="6"/>
      <c r="H282" s="60"/>
    </row>
    <row r="283" spans="3:8" ht="13.8">
      <c r="C283" s="152"/>
      <c r="D283" s="152"/>
      <c r="F283" s="81"/>
      <c r="G283" s="6"/>
      <c r="H283" s="60"/>
    </row>
    <row r="284" spans="3:8" ht="13.8">
      <c r="C284" s="152"/>
      <c r="D284" s="152"/>
      <c r="F284" s="81"/>
      <c r="G284" s="6"/>
      <c r="H284" s="60"/>
    </row>
    <row r="285" spans="3:8" ht="13.8">
      <c r="C285" s="152"/>
      <c r="D285" s="152"/>
      <c r="F285" s="81"/>
      <c r="G285" s="6"/>
      <c r="H285" s="60"/>
    </row>
    <row r="286" spans="3:8" ht="13.8">
      <c r="C286" s="152"/>
      <c r="D286" s="152"/>
      <c r="F286" s="81"/>
      <c r="G286" s="6"/>
      <c r="H286" s="60"/>
    </row>
    <row r="287" spans="3:8" ht="13.8">
      <c r="C287" s="152"/>
      <c r="D287" s="152"/>
      <c r="F287" s="81"/>
      <c r="G287" s="6"/>
      <c r="H287" s="60"/>
    </row>
    <row r="288" spans="3:8" ht="13.8">
      <c r="C288" s="152"/>
      <c r="D288" s="152"/>
      <c r="F288" s="81"/>
      <c r="G288" s="6"/>
      <c r="H288" s="60"/>
    </row>
    <row r="289" spans="3:8" ht="13.8">
      <c r="C289" s="152"/>
      <c r="D289" s="152"/>
      <c r="F289" s="81"/>
      <c r="G289" s="6"/>
      <c r="H289" s="60"/>
    </row>
    <row r="290" spans="3:8" ht="13.8">
      <c r="C290" s="152"/>
      <c r="D290" s="152"/>
      <c r="F290" s="81"/>
      <c r="G290" s="6"/>
      <c r="H290" s="60"/>
    </row>
    <row r="291" spans="3:8" ht="13.8">
      <c r="C291" s="152"/>
      <c r="D291" s="152"/>
      <c r="F291" s="81"/>
      <c r="G291" s="6"/>
      <c r="H291" s="60"/>
    </row>
    <row r="292" spans="3:8" ht="13.8">
      <c r="C292" s="152"/>
      <c r="D292" s="152"/>
      <c r="F292" s="81"/>
      <c r="G292" s="6"/>
      <c r="H292" s="60"/>
    </row>
    <row r="293" spans="3:8" ht="13.8">
      <c r="C293" s="152"/>
      <c r="D293" s="152"/>
      <c r="F293" s="81"/>
      <c r="G293" s="6"/>
      <c r="H293" s="60"/>
    </row>
    <row r="294" spans="3:8" ht="13.8">
      <c r="C294" s="152"/>
      <c r="D294" s="152"/>
      <c r="F294" s="81"/>
      <c r="G294" s="6"/>
      <c r="H294" s="60"/>
    </row>
    <row r="295" spans="3:8" ht="13.8">
      <c r="C295" s="152"/>
      <c r="D295" s="152"/>
      <c r="F295" s="81"/>
      <c r="G295" s="6"/>
      <c r="H295" s="60"/>
    </row>
    <row r="296" spans="3:8" ht="13.8">
      <c r="C296" s="152"/>
      <c r="D296" s="152"/>
      <c r="F296" s="81"/>
      <c r="G296" s="6"/>
      <c r="H296" s="60"/>
    </row>
    <row r="297" spans="3:8" ht="13.8">
      <c r="C297" s="152"/>
      <c r="D297" s="152"/>
      <c r="F297" s="81"/>
      <c r="G297" s="6"/>
      <c r="H297" s="60"/>
    </row>
    <row r="298" spans="3:8" ht="13.8">
      <c r="C298" s="152"/>
      <c r="D298" s="152"/>
      <c r="F298" s="81"/>
      <c r="G298" s="6"/>
      <c r="H298" s="60"/>
    </row>
    <row r="299" spans="3:8" ht="13.8">
      <c r="C299" s="152"/>
      <c r="D299" s="152"/>
      <c r="F299" s="81"/>
      <c r="G299" s="6"/>
      <c r="H299" s="60"/>
    </row>
    <row r="300" spans="3:8" ht="13.8">
      <c r="C300" s="152"/>
      <c r="D300" s="152"/>
      <c r="F300" s="81"/>
      <c r="G300" s="6"/>
      <c r="H300" s="60"/>
    </row>
    <row r="301" spans="3:8" ht="13.8">
      <c r="C301" s="152"/>
      <c r="D301" s="152"/>
      <c r="F301" s="81"/>
      <c r="G301" s="6"/>
      <c r="H301" s="60"/>
    </row>
    <row r="302" spans="3:8" ht="13.8">
      <c r="C302" s="152"/>
      <c r="D302" s="152"/>
      <c r="F302" s="81"/>
      <c r="G302" s="6"/>
      <c r="H302" s="60"/>
    </row>
    <row r="303" spans="3:8" ht="13.8">
      <c r="C303" s="152"/>
      <c r="D303" s="152"/>
      <c r="F303" s="81"/>
      <c r="G303" s="6"/>
      <c r="H303" s="60"/>
    </row>
    <row r="304" spans="3:8" ht="13.8">
      <c r="C304" s="152"/>
      <c r="D304" s="152"/>
      <c r="F304" s="81"/>
      <c r="G304" s="6"/>
      <c r="H304" s="60"/>
    </row>
    <row r="305" spans="3:8" ht="13.8">
      <c r="C305" s="152"/>
      <c r="D305" s="152"/>
      <c r="F305" s="81"/>
      <c r="G305" s="6"/>
      <c r="H305" s="60"/>
    </row>
    <row r="306" spans="3:8" ht="13.8">
      <c r="C306" s="152"/>
      <c r="D306" s="152"/>
      <c r="F306" s="81"/>
      <c r="G306" s="6"/>
      <c r="H306" s="60"/>
    </row>
    <row r="307" spans="3:8" ht="13.8">
      <c r="C307" s="152"/>
      <c r="D307" s="152"/>
      <c r="F307" s="81"/>
      <c r="G307" s="6"/>
      <c r="H307" s="60"/>
    </row>
    <row r="308" spans="3:8" ht="13.8">
      <c r="C308" s="152"/>
      <c r="D308" s="152"/>
      <c r="F308" s="81"/>
      <c r="G308" s="6"/>
      <c r="H308" s="60"/>
    </row>
    <row r="309" spans="3:8" ht="13.8">
      <c r="C309" s="152"/>
      <c r="D309" s="152"/>
      <c r="F309" s="81"/>
      <c r="G309" s="6"/>
      <c r="H309" s="60"/>
    </row>
    <row r="310" spans="3:8" ht="13.8">
      <c r="C310" s="152"/>
      <c r="D310" s="152"/>
      <c r="F310" s="81"/>
      <c r="G310" s="6"/>
      <c r="H310" s="60"/>
    </row>
    <row r="311" spans="3:8" ht="13.8">
      <c r="C311" s="152"/>
      <c r="D311" s="152"/>
      <c r="F311" s="81"/>
      <c r="G311" s="6"/>
      <c r="H311" s="60"/>
    </row>
    <row r="312" spans="3:8" ht="13.8">
      <c r="C312" s="152"/>
      <c r="D312" s="152"/>
      <c r="F312" s="81"/>
      <c r="G312" s="6"/>
      <c r="H312" s="60"/>
    </row>
    <row r="313" spans="3:8" ht="13.8">
      <c r="C313" s="152"/>
      <c r="D313" s="152"/>
      <c r="F313" s="81"/>
      <c r="G313" s="6"/>
      <c r="H313" s="60"/>
    </row>
    <row r="314" spans="3:8" ht="13.8">
      <c r="C314" s="152"/>
      <c r="D314" s="152"/>
      <c r="F314" s="81"/>
      <c r="G314" s="6"/>
      <c r="H314" s="60"/>
    </row>
    <row r="315" spans="3:8" ht="13.8">
      <c r="C315" s="152"/>
      <c r="D315" s="152"/>
      <c r="F315" s="81"/>
      <c r="G315" s="6"/>
      <c r="H315" s="60"/>
    </row>
    <row r="316" spans="3:8" ht="13.8">
      <c r="C316" s="152"/>
      <c r="D316" s="152"/>
      <c r="F316" s="81"/>
      <c r="G316" s="6"/>
      <c r="H316" s="60"/>
    </row>
    <row r="317" spans="3:8" ht="13.8">
      <c r="C317" s="152"/>
      <c r="D317" s="152"/>
      <c r="F317" s="81"/>
      <c r="G317" s="6"/>
      <c r="H317" s="60"/>
    </row>
    <row r="318" spans="3:8" ht="13.8">
      <c r="C318" s="152"/>
      <c r="D318" s="152"/>
      <c r="F318" s="81"/>
      <c r="G318" s="6"/>
      <c r="H318" s="60"/>
    </row>
    <row r="319" spans="3:8" ht="13.8">
      <c r="C319" s="152"/>
      <c r="D319" s="152"/>
      <c r="F319" s="81"/>
      <c r="G319" s="6"/>
      <c r="H319" s="60"/>
    </row>
    <row r="320" spans="3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  <row r="455" spans="6:8" ht="13.8">
      <c r="F455" s="81"/>
      <c r="G455" s="6"/>
      <c r="H455" s="60"/>
    </row>
    <row r="456" spans="6:8" ht="13.8">
      <c r="F456" s="81"/>
      <c r="G456" s="6"/>
      <c r="H456" s="60"/>
    </row>
    <row r="457" spans="6:8" ht="13.8">
      <c r="F457" s="81"/>
      <c r="G457" s="6"/>
      <c r="H457" s="60"/>
    </row>
    <row r="458" spans="6:8" ht="13.8">
      <c r="F458" s="81"/>
      <c r="G458" s="6"/>
      <c r="H458" s="60"/>
    </row>
    <row r="459" spans="6:8" ht="13.8">
      <c r="F459" s="81"/>
      <c r="G459" s="6"/>
      <c r="H459" s="60"/>
    </row>
    <row r="460" spans="6:8" ht="13.8">
      <c r="F460" s="81"/>
      <c r="G460" s="6"/>
      <c r="H460" s="60"/>
    </row>
    <row r="461" spans="6:8" ht="13.8">
      <c r="F461" s="81"/>
      <c r="G461" s="6"/>
      <c r="H461" s="60"/>
    </row>
    <row r="462" spans="6:8" ht="13.2"/>
    <row r="463" spans="6:8" ht="13.2"/>
    <row r="464" spans="6:8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  <row r="1001" ht="13.2"/>
    <row r="1002" ht="13.2"/>
    <row r="1003" ht="13.2"/>
    <row r="1004" ht="13.2"/>
  </sheetData>
  <autoFilter ref="A5:G256" xr:uid="{00000000-0009-0000-0000-000002000000}"/>
  <mergeCells count="12">
    <mergeCell ref="B2:H5"/>
    <mergeCell ref="B7:D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</mergeCells>
  <phoneticPr fontId="42" type="noConversion"/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EE95085-34C8-457A-BD3B-C8C540D8ACEE}">
          <x14:formula1>
            <xm:f>Categorias!$A:$A</xm:f>
          </x14:formula1>
          <xm:sqref>D13:D261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7B3D4-3E86-4296-928C-7EA28438106D}">
  <dimension ref="A1:H997"/>
  <sheetViews>
    <sheetView showGridLines="0" topLeftCell="A4" workbookViewId="0">
      <selection activeCell="G7" sqref="G7:H7"/>
    </sheetView>
  </sheetViews>
  <sheetFormatPr defaultColWidth="12.6640625" defaultRowHeight="15" customHeight="1"/>
  <cols>
    <col min="1" max="1" width="5.33203125" style="77" customWidth="1"/>
    <col min="2" max="2" width="13" style="76" bestFit="1" customWidth="1"/>
    <col min="3" max="3" width="33.33203125" style="7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8" s="8" customFormat="1" ht="4.5" customHeight="1">
      <c r="B1" s="76"/>
      <c r="C1" s="83"/>
      <c r="F1" s="85"/>
      <c r="G1" s="63"/>
    </row>
    <row r="2" spans="1:8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8" ht="12.75" customHeight="1">
      <c r="B3" s="137"/>
      <c r="C3" s="138"/>
      <c r="D3" s="138"/>
      <c r="E3" s="138"/>
      <c r="F3" s="138"/>
      <c r="G3" s="138"/>
      <c r="H3" s="138"/>
    </row>
    <row r="4" spans="1:8" ht="12.75" customHeight="1">
      <c r="B4" s="137"/>
      <c r="C4" s="138"/>
      <c r="D4" s="138"/>
      <c r="E4" s="138"/>
      <c r="F4" s="138"/>
      <c r="G4" s="138"/>
      <c r="H4" s="138"/>
    </row>
    <row r="5" spans="1:8" ht="12.75" customHeight="1">
      <c r="B5" s="139"/>
      <c r="C5" s="140"/>
      <c r="D5" s="140"/>
      <c r="E5" s="140"/>
      <c r="F5" s="140"/>
      <c r="G5" s="140"/>
      <c r="H5" s="140"/>
    </row>
    <row r="6" spans="1:8" s="8" customFormat="1" ht="3.75" customHeight="1">
      <c r="B6" s="76"/>
      <c r="C6" s="83"/>
      <c r="F6" s="85"/>
      <c r="G6" s="63"/>
    </row>
    <row r="7" spans="1:8" ht="21">
      <c r="A7" s="61"/>
      <c r="B7" s="149" t="s">
        <v>95</v>
      </c>
      <c r="C7" s="150"/>
      <c r="D7" s="150"/>
      <c r="E7" s="71"/>
      <c r="F7" s="71"/>
      <c r="G7" s="135">
        <f>D8+D9+D10+G8+G9+G10</f>
        <v>0</v>
      </c>
      <c r="H7" s="136"/>
    </row>
    <row r="8" spans="1:8" ht="15.6">
      <c r="A8" s="61"/>
      <c r="B8" s="148" t="s">
        <v>90</v>
      </c>
      <c r="C8" s="148"/>
      <c r="D8" s="65"/>
      <c r="E8" s="147" t="s">
        <v>93</v>
      </c>
      <c r="F8" s="148"/>
      <c r="G8" s="141"/>
      <c r="H8" s="142"/>
    </row>
    <row r="9" spans="1:8" ht="15.6">
      <c r="A9" s="61"/>
      <c r="B9" s="146" t="s">
        <v>91</v>
      </c>
      <c r="C9" s="146"/>
      <c r="D9" s="64"/>
      <c r="E9" s="145" t="s">
        <v>94</v>
      </c>
      <c r="F9" s="146"/>
      <c r="G9" s="143"/>
      <c r="H9" s="144"/>
    </row>
    <row r="10" spans="1:8" s="8" customFormat="1" ht="15.6">
      <c r="A10" s="61"/>
      <c r="B10" s="148" t="s">
        <v>92</v>
      </c>
      <c r="C10" s="148"/>
      <c r="D10" s="65"/>
      <c r="E10" s="145" t="s">
        <v>96</v>
      </c>
      <c r="F10" s="146"/>
      <c r="G10" s="141"/>
      <c r="H10" s="142"/>
    </row>
    <row r="11" spans="1:8" s="8" customFormat="1" ht="4.5" customHeight="1">
      <c r="B11" s="76"/>
      <c r="C11" s="83"/>
      <c r="F11" s="84"/>
      <c r="G11" s="84"/>
    </row>
    <row r="12" spans="1:8" ht="18">
      <c r="B12" s="67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8" ht="13.8">
      <c r="B13" s="74">
        <v>46210</v>
      </c>
      <c r="C13" s="68" t="inlineStr">
        <is>
          <t xml:space="preserve">Renato Barbosa Rocha Ibrahim</t>
        </is>
      </c>
      <c r="D13" s="1"/>
      <c r="E13" s="62" t="str">
        <f>IF(ISERROR(VLOOKUP(D13,Categorias!A:B,2,0)),"",VLOOKUP(D13,Categorias!A:B,2,0))</f>
        <v/>
      </c>
      <c r="F13" s="80">
        <v>1234.56</v>
      </c>
      <c r="G13" s="5"/>
      <c r="H13" s="78">
        <f>G7+F13-G13</f>
        <v>0</v>
      </c>
    </row>
    <row r="14" spans="1:8" ht="9.75" customHeight="1">
      <c r="B14" s="74">
        <v>46210</v>
      </c>
      <c r="C14" s="68" t="inlineStr">
        <is>
          <t xml:space="preserve">Rodrigo Dantas</t>
        </is>
      </c>
      <c r="D14" s="1"/>
      <c r="E14" s="1" t="str">
        <f>IF(ISERROR(VLOOKUP(D14,Categorias!A:B,2,0)),"",VLOOKUP(D14,Categorias!A:B,2,0))</f>
        <v/>
      </c>
      <c r="F14" s="80"/>
      <c r="G14" s="5">
        <v>0.56</v>
      </c>
      <c r="H14" s="79">
        <f t="shared" ref="H14:H77" si="0">H13+F14-G14</f>
        <v>0</v>
      </c>
    </row>
    <row r="15" spans="1:8" ht="13.8">
      <c r="B15" s="74">
        <v>46223</v>
      </c>
      <c r="C15" s="68" t="inlineStr">
        <is>
          <t xml:space="preserve">Alice Almeida</t>
        </is>
      </c>
      <c r="D15" s="1"/>
      <c r="E15" s="1" t="str">
        <f>IF(ISERROR(VLOOKUP(D15,Categorias!A:B,2,0)),"",VLOOKUP(D15,Categorias!A:B,2,0))</f>
        <v/>
      </c>
      <c r="F15" s="80"/>
      <c r="G15" s="5">
        <v>350.00</v>
      </c>
      <c r="H15" s="79">
        <f t="shared" si="0"/>
        <v>0</v>
      </c>
    </row>
    <row r="16" spans="1:8" ht="13.8">
      <c r="B16" s="74"/>
      <c r="C16" s="68"/>
      <c r="D16" s="1"/>
      <c r="E16" s="1" t="str">
        <f>IF(ISERROR(VLOOKUP(D16,Categorias!A:B,2,0)),"",VLOOKUP(D16,Categorias!A:B,2,0))</f>
        <v/>
      </c>
      <c r="F16" s="80"/>
      <c r="G16" s="5"/>
      <c r="H16" s="79">
        <f t="shared" si="0"/>
        <v>0</v>
      </c>
    </row>
    <row r="17" spans="2:8" ht="13.8">
      <c r="B17" s="74"/>
      <c r="C17" s="68"/>
      <c r="D17" s="1"/>
      <c r="E17" s="1" t="str">
        <f>IF(ISERROR(VLOOKUP(D17,Categorias!A:B,2,0)),"",VLOOKUP(D17,Categorias!A:B,2,0))</f>
        <v/>
      </c>
      <c r="F17" s="80"/>
      <c r="G17" s="5"/>
      <c r="H17" s="79">
        <f t="shared" si="0"/>
        <v>0</v>
      </c>
    </row>
    <row r="18" spans="2:8" ht="13.8">
      <c r="B18" s="74"/>
      <c r="C18" s="68"/>
      <c r="D18" s="1"/>
      <c r="E18" s="1" t="str">
        <f>IF(ISERROR(VLOOKUP(D18,Categorias!A:B,2,0)),"",VLOOKUP(D18,Categorias!A:B,2,0))</f>
        <v/>
      </c>
      <c r="F18" s="80"/>
      <c r="G18" s="5"/>
      <c r="H18" s="79">
        <f t="shared" si="0"/>
        <v>0</v>
      </c>
    </row>
    <row r="19" spans="2:8" ht="13.8">
      <c r="B19" s="74"/>
      <c r="C19" s="68"/>
      <c r="D19" s="1"/>
      <c r="E19" s="1" t="str">
        <f>IF(ISERROR(VLOOKUP(D19,Categorias!A:B,2,0)),"",VLOOKUP(D19,Categorias!A:B,2,0))</f>
        <v/>
      </c>
      <c r="F19" s="80"/>
      <c r="G19" s="5"/>
      <c r="H19" s="79">
        <f t="shared" si="0"/>
        <v>0</v>
      </c>
    </row>
    <row r="20" spans="2:8" ht="13.8">
      <c r="B20" s="74"/>
      <c r="C20" s="68"/>
      <c r="D20" s="1"/>
      <c r="E20" s="1" t="str">
        <f>IF(ISERROR(VLOOKUP(D20,Categorias!A:B,2,0)),"",VLOOKUP(D20,Categorias!A:B,2,0))</f>
        <v/>
      </c>
      <c r="F20" s="80"/>
      <c r="G20" s="5"/>
      <c r="H20" s="79">
        <f t="shared" si="0"/>
        <v>0</v>
      </c>
    </row>
    <row r="21" spans="2:8" ht="13.8">
      <c r="B21" s="74"/>
      <c r="C21" s="68"/>
      <c r="D21" s="1"/>
      <c r="E21" s="1" t="str">
        <f>IF(ISERROR(VLOOKUP(D21,Categorias!A:B,2,0)),"",VLOOKUP(D21,Categorias!A:B,2,0))</f>
        <v/>
      </c>
      <c r="F21" s="80"/>
      <c r="G21" s="5"/>
      <c r="H21" s="79">
        <f t="shared" si="0"/>
        <v>0</v>
      </c>
    </row>
    <row r="22" spans="2:8" ht="13.8">
      <c r="B22" s="74"/>
      <c r="C22" s="68"/>
      <c r="D22" s="1"/>
      <c r="E22" s="1" t="str">
        <f>IF(ISERROR(VLOOKUP(D22,Categorias!A:B,2,0)),"",VLOOKUP(D22,Categorias!A:B,2,0))</f>
        <v/>
      </c>
      <c r="F22" s="80"/>
      <c r="G22" s="5"/>
      <c r="H22" s="79">
        <f t="shared" si="0"/>
        <v>0</v>
      </c>
    </row>
    <row r="23" spans="2:8" ht="13.8">
      <c r="B23" s="74"/>
      <c r="C23" s="68"/>
      <c r="D23" s="1"/>
      <c r="E23" s="1" t="str">
        <f>IF(ISERROR(VLOOKUP(D23,Categorias!A:B,2,0)),"",VLOOKUP(D23,Categorias!A:B,2,0))</f>
        <v/>
      </c>
      <c r="F23" s="80"/>
      <c r="G23" s="5"/>
      <c r="H23" s="79">
        <f t="shared" si="0"/>
        <v>0</v>
      </c>
    </row>
    <row r="24" spans="2:8" ht="13.8">
      <c r="B24" s="74"/>
      <c r="C24" s="68"/>
      <c r="D24" s="1"/>
      <c r="E24" s="1" t="str">
        <f>IF(ISERROR(VLOOKUP(D24,Categorias!A:B,2,0)),"",VLOOKUP(D24,Categorias!A:B,2,0))</f>
        <v/>
      </c>
      <c r="F24" s="80"/>
      <c r="G24" s="5"/>
      <c r="H24" s="79">
        <f t="shared" si="0"/>
        <v>0</v>
      </c>
    </row>
    <row r="25" spans="2:8" ht="13.8">
      <c r="B25" s="74"/>
      <c r="C25" s="68"/>
      <c r="D25" s="1"/>
      <c r="E25" s="1" t="str">
        <f>IF(ISERROR(VLOOKUP(D25,Categorias!A:B,2,0)),"",VLOOKUP(D25,Categorias!A:B,2,0))</f>
        <v/>
      </c>
      <c r="F25" s="80"/>
      <c r="G25" s="5"/>
      <c r="H25" s="79">
        <f t="shared" si="0"/>
        <v>0</v>
      </c>
    </row>
    <row r="26" spans="2:8" ht="13.8">
      <c r="B26" s="74"/>
      <c r="C26" s="68"/>
      <c r="D26" s="1"/>
      <c r="E26" s="1" t="str">
        <f>IF(ISERROR(VLOOKUP(D26,Categorias!A:B,2,0)),"",VLOOKUP(D26,Categorias!A:B,2,0))</f>
        <v/>
      </c>
      <c r="F26" s="80"/>
      <c r="G26" s="5"/>
      <c r="H26" s="79">
        <f t="shared" si="0"/>
        <v>0</v>
      </c>
    </row>
    <row r="27" spans="2:8" ht="13.8">
      <c r="B27" s="74"/>
      <c r="C27" s="68"/>
      <c r="D27" s="1"/>
      <c r="E27" s="1" t="str">
        <f>IF(ISERROR(VLOOKUP(D27,Categorias!A:B,2,0)),"",VLOOKUP(D27,Categorias!A:B,2,0))</f>
        <v/>
      </c>
      <c r="F27" s="80"/>
      <c r="G27" s="5"/>
      <c r="H27" s="79">
        <f t="shared" si="0"/>
        <v>0</v>
      </c>
    </row>
    <row r="28" spans="2:8" ht="13.8">
      <c r="B28" s="74"/>
      <c r="C28" s="68"/>
      <c r="D28" s="1"/>
      <c r="E28" s="1" t="str">
        <f>IF(ISERROR(VLOOKUP(D28,Categorias!A:B,2,0)),"",VLOOKUP(D28,Categorias!A:B,2,0))</f>
        <v/>
      </c>
      <c r="F28" s="80"/>
      <c r="G28" s="5"/>
      <c r="H28" s="79">
        <f t="shared" si="0"/>
        <v>0</v>
      </c>
    </row>
    <row r="29" spans="2:8" ht="13.8">
      <c r="B29" s="74"/>
      <c r="C29" s="68"/>
      <c r="D29" s="1"/>
      <c r="E29" s="1" t="str">
        <f>IF(ISERROR(VLOOKUP(D29,Categorias!A:B,2,0)),"",VLOOKUP(D29,Categorias!A:B,2,0))</f>
        <v/>
      </c>
      <c r="F29" s="80"/>
      <c r="G29" s="5"/>
      <c r="H29" s="79">
        <f t="shared" si="0"/>
        <v>0</v>
      </c>
    </row>
    <row r="30" spans="2:8" ht="13.8">
      <c r="B30" s="75"/>
      <c r="C30" s="68"/>
      <c r="D30" s="1"/>
      <c r="E30" s="1" t="str">
        <f>IF(ISERROR(VLOOKUP(D30,Categorias!A:B,2,0)),"",VLOOKUP(D30,Categorias!A:B,2,0))</f>
        <v/>
      </c>
      <c r="F30" s="80"/>
      <c r="G30" s="5"/>
      <c r="H30" s="79">
        <f t="shared" si="0"/>
        <v>0</v>
      </c>
    </row>
    <row r="31" spans="2:8" ht="13.8">
      <c r="B31" s="75"/>
      <c r="C31" s="68"/>
      <c r="D31" s="1"/>
      <c r="E31" s="1" t="str">
        <f>IF(ISERROR(VLOOKUP(D31,Categorias!A:B,2,0)),"",VLOOKUP(D31,Categorias!A:B,2,0))</f>
        <v/>
      </c>
      <c r="F31" s="80"/>
      <c r="G31" s="5"/>
      <c r="H31" s="73">
        <f t="shared" si="0"/>
        <v>0</v>
      </c>
    </row>
    <row r="32" spans="2:8" ht="13.8">
      <c r="B32" s="75"/>
      <c r="C32" s="70"/>
      <c r="D32" s="1"/>
      <c r="E32" s="1" t="str">
        <f>IF(ISERROR(VLOOKUP(D32,Categorias!A:B,2,0)),"",VLOOKUP(D32,Categorias!A:B,2,0))</f>
        <v/>
      </c>
      <c r="F32" s="80"/>
      <c r="G32" s="5"/>
      <c r="H32" s="73">
        <f t="shared" si="0"/>
        <v>0</v>
      </c>
    </row>
    <row r="33" spans="2:8" ht="13.8">
      <c r="B33" s="75"/>
      <c r="C33" s="70"/>
      <c r="D33" s="1"/>
      <c r="E33" s="1" t="str">
        <f>IF(ISERROR(VLOOKUP(D33,Categorias!A:B,2,0)),"",VLOOKUP(D33,Categorias!A:B,2,0))</f>
        <v/>
      </c>
      <c r="F33" s="80"/>
      <c r="G33" s="5"/>
      <c r="H33" s="73">
        <f t="shared" si="0"/>
        <v>0</v>
      </c>
    </row>
    <row r="34" spans="2:8" ht="13.8">
      <c r="B34" s="75"/>
      <c r="C34" s="70"/>
      <c r="D34" s="1"/>
      <c r="E34" s="1" t="str">
        <f>IF(ISERROR(VLOOKUP(D34,Categorias!A:B,2,0)),"",VLOOKUP(D34,Categorias!A:B,2,0))</f>
        <v/>
      </c>
      <c r="F34" s="80"/>
      <c r="G34" s="5"/>
      <c r="H34" s="73">
        <f t="shared" si="0"/>
        <v>0</v>
      </c>
    </row>
    <row r="35" spans="2:8" ht="13.8">
      <c r="B35" s="75"/>
      <c r="C35" s="70"/>
      <c r="D35" s="1"/>
      <c r="E35" s="1" t="str">
        <f>IF(ISERROR(VLOOKUP(D35,Categorias!A:B,2,0)),"",VLOOKUP(D35,Categorias!A:B,2,0))</f>
        <v/>
      </c>
      <c r="F35" s="80"/>
      <c r="G35" s="5"/>
      <c r="H35" s="73">
        <f t="shared" si="0"/>
        <v>0</v>
      </c>
    </row>
    <row r="36" spans="2:8" ht="13.8">
      <c r="B36" s="75"/>
      <c r="C36" s="70"/>
      <c r="D36" s="1"/>
      <c r="E36" s="1" t="str">
        <f>IF(ISERROR(VLOOKUP(D36,Categorias!A:B,2,0)),"",VLOOKUP(D36,Categorias!A:B,2,0))</f>
        <v/>
      </c>
      <c r="F36" s="80"/>
      <c r="G36" s="5"/>
      <c r="H36" s="73">
        <f t="shared" si="0"/>
        <v>0</v>
      </c>
    </row>
    <row r="37" spans="2:8" ht="13.8">
      <c r="B37" s="75"/>
      <c r="C37" s="70"/>
      <c r="D37" s="1"/>
      <c r="E37" s="1" t="str">
        <f>IF(ISERROR(VLOOKUP(D37,Categorias!A:B,2,0)),"",VLOOKUP(D37,Categorias!A:B,2,0))</f>
        <v/>
      </c>
      <c r="F37" s="80"/>
      <c r="G37" s="5"/>
      <c r="H37" s="73">
        <f t="shared" si="0"/>
        <v>0</v>
      </c>
    </row>
    <row r="38" spans="2:8" ht="13.8">
      <c r="B38" s="75"/>
      <c r="C38" s="69"/>
      <c r="D38" s="1"/>
      <c r="E38" s="1" t="str">
        <f>IF(ISERROR(VLOOKUP(D38,Categorias!A:B,2,0)),"",VLOOKUP(D38,Categorias!A:B,2,0))</f>
        <v/>
      </c>
      <c r="F38" s="80"/>
      <c r="G38" s="5"/>
      <c r="H38" s="73">
        <f t="shared" si="0"/>
        <v>0</v>
      </c>
    </row>
    <row r="39" spans="2:8" ht="13.8">
      <c r="B39" s="75"/>
      <c r="C39" s="70"/>
      <c r="D39" s="1"/>
      <c r="E39" s="1" t="str">
        <f>IF(ISERROR(VLOOKUP(D39,Categorias!A:B,2,0)),"",VLOOKUP(D39,Categorias!A:B,2,0))</f>
        <v/>
      </c>
      <c r="F39" s="80"/>
      <c r="G39" s="5"/>
      <c r="H39" s="73">
        <f t="shared" si="0"/>
        <v>0</v>
      </c>
    </row>
    <row r="40" spans="2:8" ht="13.8">
      <c r="B40" s="75"/>
      <c r="C40" s="70"/>
      <c r="D40" s="1"/>
      <c r="E40" s="1" t="str">
        <f>IF(ISERROR(VLOOKUP(D40,Categorias!A:B,2,0)),"",VLOOKUP(D40,Categorias!A:B,2,0))</f>
        <v/>
      </c>
      <c r="F40" s="80"/>
      <c r="G40" s="5"/>
      <c r="H40" s="73">
        <f t="shared" si="0"/>
        <v>0</v>
      </c>
    </row>
    <row r="41" spans="2:8" ht="13.8">
      <c r="B41" s="75"/>
      <c r="C41" s="70"/>
      <c r="D41" s="1"/>
      <c r="E41" s="1" t="str">
        <f>IF(ISERROR(VLOOKUP(D41,Categorias!A:B,2,0)),"",VLOOKUP(D41,Categorias!A:B,2,0))</f>
        <v/>
      </c>
      <c r="F41" s="80"/>
      <c r="G41" s="5"/>
      <c r="H41" s="73">
        <f t="shared" si="0"/>
        <v>0</v>
      </c>
    </row>
    <row r="42" spans="2:8" ht="13.8">
      <c r="B42" s="75"/>
      <c r="C42" s="70"/>
      <c r="D42" s="1"/>
      <c r="E42" s="1" t="str">
        <f>IF(ISERROR(VLOOKUP(D42,Categorias!A:B,2,0)),"",VLOOKUP(D42,Categorias!A:B,2,0))</f>
        <v/>
      </c>
      <c r="F42" s="80"/>
      <c r="G42" s="5"/>
      <c r="H42" s="73">
        <f t="shared" si="0"/>
        <v>0</v>
      </c>
    </row>
    <row r="43" spans="2:8" ht="13.8">
      <c r="B43" s="75"/>
      <c r="C43" s="70"/>
      <c r="D43" s="1"/>
      <c r="E43" s="1" t="str">
        <f>IF(ISERROR(VLOOKUP(D43,Categorias!A:B,2,0)),"",VLOOKUP(D43,Categorias!A:B,2,0))</f>
        <v/>
      </c>
      <c r="F43" s="80"/>
      <c r="G43" s="5"/>
      <c r="H43" s="73">
        <f t="shared" si="0"/>
        <v>0</v>
      </c>
    </row>
    <row r="44" spans="2:8" ht="13.8">
      <c r="B44" s="75"/>
      <c r="D44" s="1"/>
      <c r="E44" s="1"/>
      <c r="F44" s="80"/>
      <c r="G44" s="5"/>
      <c r="H44" s="73">
        <f t="shared" si="0"/>
        <v>0</v>
      </c>
    </row>
    <row r="45" spans="2:8" ht="13.8">
      <c r="B45" s="75"/>
      <c r="D45" s="1"/>
      <c r="E45" s="1" t="str">
        <f>IF(ISERROR(VLOOKUP(D45,Categorias!A:B,2,0)),"",VLOOKUP(D45,Categorias!A:B,2,0))</f>
        <v/>
      </c>
      <c r="F45" s="80"/>
      <c r="G45" s="5"/>
      <c r="H45" s="73">
        <f t="shared" si="0"/>
        <v>0</v>
      </c>
    </row>
    <row r="46" spans="2:8" ht="13.8">
      <c r="B46" s="75"/>
      <c r="D46" s="1"/>
      <c r="E46" s="1" t="str">
        <f>IF(ISERROR(VLOOKUP(D46,Categorias!A:B,2,0)),"",VLOOKUP(D46,Categorias!A:B,2,0))</f>
        <v/>
      </c>
      <c r="F46" s="80"/>
      <c r="G46" s="5"/>
      <c r="H46" s="73">
        <f t="shared" si="0"/>
        <v>0</v>
      </c>
    </row>
    <row r="47" spans="2:8" ht="13.8">
      <c r="B47" s="75"/>
      <c r="D47" s="1"/>
      <c r="E47" s="1" t="str">
        <f>IF(ISERROR(VLOOKUP(D47,Categorias!A:B,2,0)),"",VLOOKUP(D47,Categorias!A:B,2,0))</f>
        <v/>
      </c>
      <c r="F47" s="80"/>
      <c r="G47" s="5"/>
      <c r="H47" s="73">
        <f t="shared" si="0"/>
        <v>0</v>
      </c>
    </row>
    <row r="48" spans="2:8" ht="13.8">
      <c r="B48" s="75"/>
      <c r="D48" s="1"/>
      <c r="E48" s="1" t="str">
        <f>IF(ISERROR(VLOOKUP(D48,Categorias!A:B,2,0)),"",VLOOKUP(D48,Categorias!A:B,2,0))</f>
        <v/>
      </c>
      <c r="F48" s="80"/>
      <c r="G48" s="5"/>
      <c r="H48" s="73">
        <f t="shared" si="0"/>
        <v>0</v>
      </c>
    </row>
    <row r="49" spans="2:8" ht="13.8">
      <c r="B49" s="75"/>
      <c r="D49" s="1"/>
      <c r="E49" s="1" t="str">
        <f>IF(ISERROR(VLOOKUP(D49,Categorias!A:B,2,0)),"",VLOOKUP(D49,Categorias!A:B,2,0))</f>
        <v/>
      </c>
      <c r="F49" s="80"/>
      <c r="G49" s="5"/>
      <c r="H49" s="73">
        <f t="shared" si="0"/>
        <v>0</v>
      </c>
    </row>
    <row r="50" spans="2:8" ht="13.8">
      <c r="B50" s="75"/>
      <c r="D50" s="1"/>
      <c r="E50" s="1" t="str">
        <f>IF(ISERROR(VLOOKUP(D50,Categorias!A:B,2,0)),"",VLOOKUP(D50,Categorias!A:B,2,0))</f>
        <v/>
      </c>
      <c r="F50" s="80"/>
      <c r="G50" s="5"/>
      <c r="H50" s="73">
        <f t="shared" si="0"/>
        <v>0</v>
      </c>
    </row>
    <row r="51" spans="2:8" ht="13.8">
      <c r="B51" s="75"/>
      <c r="D51" s="1"/>
      <c r="E51" s="1" t="str">
        <f>IF(ISERROR(VLOOKUP(D51,Categorias!A:B,2,0)),"",VLOOKUP(D51,Categorias!A:B,2,0))</f>
        <v/>
      </c>
      <c r="F51" s="80"/>
      <c r="G51" s="5"/>
      <c r="H51" s="73">
        <f t="shared" si="0"/>
        <v>0</v>
      </c>
    </row>
    <row r="52" spans="2:8" ht="13.8">
      <c r="B52" s="75"/>
      <c r="D52" s="1"/>
      <c r="E52" s="1" t="str">
        <f>IF(ISERROR(VLOOKUP(D52,Categorias!A:B,2,0)),"",VLOOKUP(D52,Categorias!A:B,2,0))</f>
        <v/>
      </c>
      <c r="F52" s="80"/>
      <c r="G52" s="5"/>
      <c r="H52" s="73">
        <f t="shared" si="0"/>
        <v>0</v>
      </c>
    </row>
    <row r="53" spans="2:8" ht="13.8">
      <c r="B53" s="75"/>
      <c r="D53" s="1"/>
      <c r="E53" s="1" t="str">
        <f>IF(ISERROR(VLOOKUP(D53,Categorias!A:B,2,0)),"",VLOOKUP(D53,Categorias!A:B,2,0))</f>
        <v/>
      </c>
      <c r="F53" s="80"/>
      <c r="G53" s="5"/>
      <c r="H53" s="73">
        <f t="shared" si="0"/>
        <v>0</v>
      </c>
    </row>
    <row r="54" spans="2:8" ht="13.8">
      <c r="B54" s="75"/>
      <c r="D54" s="1"/>
      <c r="E54" s="1" t="str">
        <f>IF(ISERROR(VLOOKUP(D54,Categorias!A:B,2,0)),"",VLOOKUP(D54,Categorias!A:B,2,0))</f>
        <v/>
      </c>
      <c r="F54" s="80"/>
      <c r="G54" s="5"/>
      <c r="H54" s="73">
        <f t="shared" si="0"/>
        <v>0</v>
      </c>
    </row>
    <row r="55" spans="2:8" ht="13.8">
      <c r="B55" s="75"/>
      <c r="D55" s="1"/>
      <c r="E55" s="1" t="str">
        <f>IF(ISERROR(VLOOKUP(D55,Categorias!A:B,2,0)),"",VLOOKUP(D55,Categorias!A:B,2,0))</f>
        <v/>
      </c>
      <c r="F55" s="80"/>
      <c r="G55" s="5"/>
      <c r="H55" s="73">
        <f t="shared" si="0"/>
        <v>0</v>
      </c>
    </row>
    <row r="56" spans="2:8" ht="13.8">
      <c r="B56" s="75"/>
      <c r="D56" s="1"/>
      <c r="E56" s="1" t="str">
        <f>IF(ISERROR(VLOOKUP(D56,Categorias!A:B,2,0)),"",VLOOKUP(D56,Categorias!A:B,2,0))</f>
        <v/>
      </c>
      <c r="F56" s="80"/>
      <c r="G56" s="5"/>
      <c r="H56" s="73">
        <f t="shared" si="0"/>
        <v>0</v>
      </c>
    </row>
    <row r="57" spans="2:8" ht="13.8">
      <c r="B57" s="75"/>
      <c r="D57" s="1"/>
      <c r="E57" s="1" t="str">
        <f>IF(ISERROR(VLOOKUP(D57,Categorias!A:B,2,0)),"",VLOOKUP(D57,Categorias!A:B,2,0))</f>
        <v/>
      </c>
      <c r="F57" s="80"/>
      <c r="G57" s="5"/>
      <c r="H57" s="73">
        <f t="shared" si="0"/>
        <v>0</v>
      </c>
    </row>
    <row r="58" spans="2:8" ht="13.8">
      <c r="D58" s="1"/>
      <c r="E58" s="1" t="str">
        <f>IF(ISERROR(VLOOKUP(D58,Categorias!A:B,2,0)),"",VLOOKUP(D58,Categorias!A:B,2,0))</f>
        <v/>
      </c>
      <c r="F58" s="80"/>
      <c r="G58" s="5"/>
      <c r="H58" s="73">
        <f t="shared" si="0"/>
        <v>0</v>
      </c>
    </row>
    <row r="59" spans="2:8" ht="13.8">
      <c r="D59" s="1"/>
      <c r="E59" s="1" t="str">
        <f>IF(ISERROR(VLOOKUP(D59,Categorias!A:B,2,0)),"",VLOOKUP(D59,Categorias!A:B,2,0))</f>
        <v/>
      </c>
      <c r="F59" s="80"/>
      <c r="G59" s="5"/>
      <c r="H59" s="73">
        <f t="shared" si="0"/>
        <v>0</v>
      </c>
    </row>
    <row r="60" spans="2:8" ht="13.8">
      <c r="D60" s="1"/>
      <c r="E60" s="1" t="str">
        <f>IF(ISERROR(VLOOKUP(D60,Categorias!A:B,2,0)),"",VLOOKUP(D60,Categorias!A:B,2,0))</f>
        <v/>
      </c>
      <c r="F60" s="80"/>
      <c r="G60" s="5"/>
      <c r="H60" s="73">
        <f t="shared" si="0"/>
        <v>0</v>
      </c>
    </row>
    <row r="61" spans="2:8" ht="13.8">
      <c r="D61" s="1"/>
      <c r="E61" s="1" t="str">
        <f>IF(ISERROR(VLOOKUP(D61,Categorias!A:B,2,0)),"",VLOOKUP(D61,Categorias!A:B,2,0))</f>
        <v/>
      </c>
      <c r="F61" s="80"/>
      <c r="G61" s="5"/>
      <c r="H61" s="73">
        <f t="shared" si="0"/>
        <v>0</v>
      </c>
    </row>
    <row r="62" spans="2:8" ht="13.8">
      <c r="D62" s="1"/>
      <c r="E62" s="1" t="str">
        <f>IF(ISERROR(VLOOKUP(D62,Categorias!A:B,2,0)),"",VLOOKUP(D62,Categorias!A:B,2,0))</f>
        <v/>
      </c>
      <c r="F62" s="80"/>
      <c r="G62" s="5"/>
      <c r="H62" s="73">
        <f t="shared" si="0"/>
        <v>0</v>
      </c>
    </row>
    <row r="63" spans="2:8" ht="13.8">
      <c r="D63" s="1"/>
      <c r="E63" s="1" t="str">
        <f>IF(ISERROR(VLOOKUP(D63,Categorias!A:B,2,0)),"",VLOOKUP(D63,Categorias!A:B,2,0))</f>
        <v/>
      </c>
      <c r="F63" s="80"/>
      <c r="G63" s="5"/>
      <c r="H63" s="73">
        <f t="shared" si="0"/>
        <v>0</v>
      </c>
    </row>
    <row r="64" spans="2:8" ht="13.8">
      <c r="D64" s="1"/>
      <c r="E64" s="1" t="str">
        <f>IF(ISERROR(VLOOKUP(D64,Categorias!A:B,2,0)),"",VLOOKUP(D64,Categorias!A:B,2,0))</f>
        <v/>
      </c>
      <c r="F64" s="80"/>
      <c r="G64" s="5"/>
      <c r="H64" s="73">
        <f t="shared" si="0"/>
        <v>0</v>
      </c>
    </row>
    <row r="65" spans="4:8" ht="13.8">
      <c r="D65" s="1"/>
      <c r="E65" s="1" t="str">
        <f>IF(ISERROR(VLOOKUP(D65,Categorias!A:B,2,0)),"",VLOOKUP(D65,Categorias!A:B,2,0))</f>
        <v/>
      </c>
      <c r="F65" s="80"/>
      <c r="G65" s="5"/>
      <c r="H65" s="73">
        <f t="shared" si="0"/>
        <v>0</v>
      </c>
    </row>
    <row r="66" spans="4:8" ht="13.8">
      <c r="D66" s="1"/>
      <c r="E66" s="1" t="str">
        <f>IF(ISERROR(VLOOKUP(D66,Categorias!A:B,2,0)),"",VLOOKUP(D66,Categorias!A:B,2,0))</f>
        <v/>
      </c>
      <c r="F66" s="80"/>
      <c r="G66" s="5"/>
      <c r="H66" s="73">
        <f t="shared" si="0"/>
        <v>0</v>
      </c>
    </row>
    <row r="67" spans="4:8" ht="13.8">
      <c r="D67" s="1"/>
      <c r="E67" s="1" t="str">
        <f>IF(ISERROR(VLOOKUP(D67,Categorias!A:B,2,0)),"",VLOOKUP(D67,Categorias!A:B,2,0))</f>
        <v/>
      </c>
      <c r="F67" s="80"/>
      <c r="G67" s="5"/>
      <c r="H67" s="73">
        <f t="shared" si="0"/>
        <v>0</v>
      </c>
    </row>
    <row r="68" spans="4:8" ht="13.8">
      <c r="D68" s="1"/>
      <c r="E68" s="1" t="str">
        <f>IF(ISERROR(VLOOKUP(D68,Categorias!A:B,2,0)),"",VLOOKUP(D68,Categorias!A:B,2,0))</f>
        <v/>
      </c>
      <c r="F68" s="80"/>
      <c r="G68" s="5"/>
      <c r="H68" s="73">
        <f t="shared" si="0"/>
        <v>0</v>
      </c>
    </row>
    <row r="69" spans="4:8" ht="13.8">
      <c r="D69" s="1"/>
      <c r="E69" s="1" t="str">
        <f>IF(ISERROR(VLOOKUP(D69,Categorias!A:B,2,0)),"",VLOOKUP(D69,Categorias!A:B,2,0))</f>
        <v/>
      </c>
      <c r="F69" s="80"/>
      <c r="G69" s="5"/>
      <c r="H69" s="73">
        <f t="shared" si="0"/>
        <v>0</v>
      </c>
    </row>
    <row r="70" spans="4:8" ht="13.8">
      <c r="D70" s="1"/>
      <c r="E70" s="1" t="str">
        <f>IF(ISERROR(VLOOKUP(D70,Categorias!A:B,2,0)),"",VLOOKUP(D70,Categorias!A:B,2,0))</f>
        <v/>
      </c>
      <c r="F70" s="80"/>
      <c r="G70" s="5"/>
      <c r="H70" s="73">
        <f t="shared" si="0"/>
        <v>0</v>
      </c>
    </row>
    <row r="71" spans="4:8" ht="13.8">
      <c r="D71" s="1"/>
      <c r="E71" s="1" t="str">
        <f>IF(ISERROR(VLOOKUP(D71,Categorias!A:B,2,0)),"",VLOOKUP(D71,Categorias!A:B,2,0))</f>
        <v/>
      </c>
      <c r="F71" s="80"/>
      <c r="G71" s="5"/>
      <c r="H71" s="73">
        <f t="shared" si="0"/>
        <v>0</v>
      </c>
    </row>
    <row r="72" spans="4:8" ht="13.8">
      <c r="D72" s="1"/>
      <c r="E72" s="1" t="str">
        <f>IF(ISERROR(VLOOKUP(D72,Categorias!A:B,2,0)),"",VLOOKUP(D72,Categorias!A:B,2,0))</f>
        <v/>
      </c>
      <c r="F72" s="80"/>
      <c r="G72" s="5"/>
      <c r="H72" s="73">
        <f t="shared" si="0"/>
        <v>0</v>
      </c>
    </row>
    <row r="73" spans="4:8" ht="13.8">
      <c r="D73" s="1"/>
      <c r="E73" s="1" t="str">
        <f>IF(ISERROR(VLOOKUP(D73,Categorias!A:B,2,0)),"",VLOOKUP(D73,Categorias!A:B,2,0))</f>
        <v/>
      </c>
      <c r="F73" s="80"/>
      <c r="G73" s="5"/>
      <c r="H73" s="73">
        <f t="shared" si="0"/>
        <v>0</v>
      </c>
    </row>
    <row r="74" spans="4:8" ht="13.8">
      <c r="D74" s="1"/>
      <c r="E74" s="1" t="str">
        <f>IF(ISERROR(VLOOKUP(D74,Categorias!A:B,2,0)),"",VLOOKUP(D74,Categorias!A:B,2,0))</f>
        <v/>
      </c>
      <c r="F74" s="80"/>
      <c r="G74" s="5"/>
      <c r="H74" s="73">
        <f t="shared" si="0"/>
        <v>0</v>
      </c>
    </row>
    <row r="75" spans="4:8" ht="13.8">
      <c r="D75" s="1"/>
      <c r="E75" s="1" t="str">
        <f>IF(ISERROR(VLOOKUP(D75,Categorias!A:B,2,0)),"",VLOOKUP(D75,Categorias!A:B,2,0))</f>
        <v/>
      </c>
      <c r="F75" s="80"/>
      <c r="G75" s="5"/>
      <c r="H75" s="73">
        <f t="shared" si="0"/>
        <v>0</v>
      </c>
    </row>
    <row r="76" spans="4:8" ht="13.8">
      <c r="D76" s="1"/>
      <c r="E76" s="1" t="str">
        <f>IF(ISERROR(VLOOKUP(D76,Categorias!A:B,2,0)),"",VLOOKUP(D76,Categorias!A:B,2,0))</f>
        <v/>
      </c>
      <c r="F76" s="80"/>
      <c r="G76" s="5"/>
      <c r="H76" s="73">
        <f t="shared" si="0"/>
        <v>0</v>
      </c>
    </row>
    <row r="77" spans="4:8" ht="13.8">
      <c r="D77" s="1"/>
      <c r="E77" s="1" t="str">
        <f>IF(ISERROR(VLOOKUP(D77,Categorias!A:B,2,0)),"",VLOOKUP(D77,Categorias!A:B,2,0))</f>
        <v/>
      </c>
      <c r="F77" s="80"/>
      <c r="G77" s="5"/>
      <c r="H77" s="73">
        <f t="shared" si="0"/>
        <v>0</v>
      </c>
    </row>
    <row r="78" spans="4:8" ht="13.8">
      <c r="D78" s="1"/>
      <c r="E78" s="1" t="str">
        <f>IF(ISERROR(VLOOKUP(D78,Categorias!A:B,2,0)),"",VLOOKUP(D78,Categorias!A:B,2,0))</f>
        <v/>
      </c>
      <c r="F78" s="80"/>
      <c r="G78" s="5"/>
      <c r="H78" s="73">
        <f t="shared" ref="H78:H141" si="1">H77+F78-G78</f>
        <v>0</v>
      </c>
    </row>
    <row r="79" spans="4:8" ht="13.8">
      <c r="D79" s="1"/>
      <c r="E79" s="1" t="str">
        <f>IF(ISERROR(VLOOKUP(D79,Categorias!A:B,2,0)),"",VLOOKUP(D79,Categorias!A:B,2,0))</f>
        <v/>
      </c>
      <c r="F79" s="80"/>
      <c r="G79" s="5"/>
      <c r="H79" s="73">
        <f t="shared" si="1"/>
        <v>0</v>
      </c>
    </row>
    <row r="80" spans="4:8" ht="13.8">
      <c r="D80" s="1"/>
      <c r="E80" s="1" t="str">
        <f>IF(ISERROR(VLOOKUP(D80,Categorias!A:B,2,0)),"",VLOOKUP(D80,Categorias!A:B,2,0))</f>
        <v/>
      </c>
      <c r="F80" s="80"/>
      <c r="G80" s="5"/>
      <c r="H80" s="73">
        <f t="shared" si="1"/>
        <v>0</v>
      </c>
    </row>
    <row r="81" spans="4:8" ht="13.8">
      <c r="D81" s="1"/>
      <c r="E81" s="1" t="str">
        <f>IF(ISERROR(VLOOKUP(D81,Categorias!A:B,2,0)),"",VLOOKUP(D81,Categorias!A:B,2,0))</f>
        <v/>
      </c>
      <c r="F81" s="80"/>
      <c r="G81" s="5"/>
      <c r="H81" s="73">
        <f t="shared" si="1"/>
        <v>0</v>
      </c>
    </row>
    <row r="82" spans="4:8" ht="13.8">
      <c r="D82" s="1"/>
      <c r="E82" s="1" t="str">
        <f>IF(ISERROR(VLOOKUP(D82,Categorias!A:B,2,0)),"",VLOOKUP(D82,Categorias!A:B,2,0))</f>
        <v/>
      </c>
      <c r="F82" s="80"/>
      <c r="G82" s="5"/>
      <c r="H82" s="73">
        <f t="shared" si="1"/>
        <v>0</v>
      </c>
    </row>
    <row r="83" spans="4:8" ht="13.8">
      <c r="D83" s="1"/>
      <c r="E83" s="1" t="str">
        <f>IF(ISERROR(VLOOKUP(D83,Categorias!A:B,2,0)),"",VLOOKUP(D83,Categorias!A:B,2,0))</f>
        <v/>
      </c>
      <c r="F83" s="80"/>
      <c r="G83" s="5"/>
      <c r="H83" s="73">
        <f t="shared" si="1"/>
        <v>0</v>
      </c>
    </row>
    <row r="84" spans="4:8" ht="13.8">
      <c r="D84" s="1"/>
      <c r="E84" s="1" t="str">
        <f>IF(ISERROR(VLOOKUP(D84,Categorias!A:B,2,0)),"",VLOOKUP(D84,Categorias!A:B,2,0))</f>
        <v/>
      </c>
      <c r="F84" s="80"/>
      <c r="G84" s="5"/>
      <c r="H84" s="73">
        <f t="shared" si="1"/>
        <v>0</v>
      </c>
    </row>
    <row r="85" spans="4:8" ht="13.8">
      <c r="D85" s="1"/>
      <c r="E85" s="1" t="str">
        <f>IF(ISERROR(VLOOKUP(D85,Categorias!A:B,2,0)),"",VLOOKUP(D85,Categorias!A:B,2,0))</f>
        <v/>
      </c>
      <c r="F85" s="80"/>
      <c r="G85" s="5"/>
      <c r="H85" s="73">
        <f t="shared" si="1"/>
        <v>0</v>
      </c>
    </row>
    <row r="86" spans="4:8" ht="13.8">
      <c r="D86" s="1"/>
      <c r="E86" s="1" t="str">
        <f>IF(ISERROR(VLOOKUP(D86,Categorias!A:B,2,0)),"",VLOOKUP(D86,Categorias!A:B,2,0))</f>
        <v/>
      </c>
      <c r="F86" s="80"/>
      <c r="G86" s="5"/>
      <c r="H86" s="73">
        <f t="shared" si="1"/>
        <v>0</v>
      </c>
    </row>
    <row r="87" spans="4:8" ht="13.8">
      <c r="D87" s="1"/>
      <c r="E87" s="1" t="str">
        <f>IF(ISERROR(VLOOKUP(D87,Categorias!A:B,2,0)),"",VLOOKUP(D87,Categorias!A:B,2,0))</f>
        <v/>
      </c>
      <c r="F87" s="80"/>
      <c r="G87" s="5"/>
      <c r="H87" s="73">
        <f t="shared" si="1"/>
        <v>0</v>
      </c>
    </row>
    <row r="88" spans="4:8" ht="13.8">
      <c r="D88" s="1"/>
      <c r="E88" s="1" t="str">
        <f>IF(ISERROR(VLOOKUP(D88,Categorias!A:B,2,0)),"",VLOOKUP(D88,Categorias!A:B,2,0))</f>
        <v/>
      </c>
      <c r="F88" s="80"/>
      <c r="G88" s="5"/>
      <c r="H88" s="73">
        <f t="shared" si="1"/>
        <v>0</v>
      </c>
    </row>
    <row r="89" spans="4:8" ht="13.8">
      <c r="D89" s="1"/>
      <c r="E89" s="1" t="str">
        <f>IF(ISERROR(VLOOKUP(D89,Categorias!A:B,2,0)),"",VLOOKUP(D89,Categorias!A:B,2,0))</f>
        <v/>
      </c>
      <c r="F89" s="80"/>
      <c r="G89" s="5"/>
      <c r="H89" s="73">
        <f t="shared" si="1"/>
        <v>0</v>
      </c>
    </row>
    <row r="90" spans="4:8" ht="13.8">
      <c r="D90" s="1"/>
      <c r="E90" s="1" t="str">
        <f>IF(ISERROR(VLOOKUP(D90,Categorias!A:B,2,0)),"",VLOOKUP(D90,Categorias!A:B,2,0))</f>
        <v/>
      </c>
      <c r="F90" s="80"/>
      <c r="G90" s="5"/>
      <c r="H90" s="73">
        <f t="shared" si="1"/>
        <v>0</v>
      </c>
    </row>
    <row r="91" spans="4:8" ht="13.8">
      <c r="D91" s="1"/>
      <c r="E91" s="1" t="str">
        <f>IF(ISERROR(VLOOKUP(D91,Categorias!A:B,2,0)),"",VLOOKUP(D91,Categorias!A:B,2,0))</f>
        <v/>
      </c>
      <c r="F91" s="80"/>
      <c r="G91" s="5"/>
      <c r="H91" s="73">
        <f t="shared" si="1"/>
        <v>0</v>
      </c>
    </row>
    <row r="92" spans="4:8" ht="13.8">
      <c r="D92" s="1"/>
      <c r="E92" s="1" t="str">
        <f>IF(ISERROR(VLOOKUP(D92,Categorias!A:B,2,0)),"",VLOOKUP(D92,Categorias!A:B,2,0))</f>
        <v/>
      </c>
      <c r="F92" s="80"/>
      <c r="G92" s="5"/>
      <c r="H92" s="73">
        <f t="shared" si="1"/>
        <v>0</v>
      </c>
    </row>
    <row r="93" spans="4:8" ht="13.8">
      <c r="D93" s="1"/>
      <c r="E93" s="1" t="str">
        <f>IF(ISERROR(VLOOKUP(D93,Categorias!A:B,2,0)),"",VLOOKUP(D93,Categorias!A:B,2,0))</f>
        <v/>
      </c>
      <c r="F93" s="80"/>
      <c r="G93" s="5"/>
      <c r="H93" s="73">
        <f t="shared" si="1"/>
        <v>0</v>
      </c>
    </row>
    <row r="94" spans="4:8" ht="13.8">
      <c r="D94" s="1"/>
      <c r="E94" s="1" t="str">
        <f>IF(ISERROR(VLOOKUP(D94,Categorias!A:B,2,0)),"",VLOOKUP(D94,Categorias!A:B,2,0))</f>
        <v/>
      </c>
      <c r="F94" s="80"/>
      <c r="G94" s="5"/>
      <c r="H94" s="73">
        <f t="shared" si="1"/>
        <v>0</v>
      </c>
    </row>
    <row r="95" spans="4:8" ht="13.8">
      <c r="D95" s="1"/>
      <c r="E95" s="1" t="str">
        <f>IF(ISERROR(VLOOKUP(D95,Categorias!A:B,2,0)),"",VLOOKUP(D95,Categorias!A:B,2,0))</f>
        <v/>
      </c>
      <c r="F95" s="80"/>
      <c r="G95" s="5"/>
      <c r="H95" s="73">
        <f t="shared" si="1"/>
        <v>0</v>
      </c>
    </row>
    <row r="96" spans="4:8" ht="13.8">
      <c r="D96" s="1"/>
      <c r="E96" s="1" t="str">
        <f>IF(ISERROR(VLOOKUP(D96,Categorias!A:B,2,0)),"",VLOOKUP(D96,Categorias!A:B,2,0))</f>
        <v/>
      </c>
      <c r="F96" s="80"/>
      <c r="G96" s="5"/>
      <c r="H96" s="73">
        <f t="shared" si="1"/>
        <v>0</v>
      </c>
    </row>
    <row r="97" spans="4:8" ht="13.8">
      <c r="D97" s="1"/>
      <c r="E97" s="1" t="str">
        <f>IF(ISERROR(VLOOKUP(D97,Categorias!A:B,2,0)),"",VLOOKUP(D97,Categorias!A:B,2,0))</f>
        <v/>
      </c>
      <c r="F97" s="80"/>
      <c r="G97" s="5"/>
      <c r="H97" s="73">
        <f t="shared" si="1"/>
        <v>0</v>
      </c>
    </row>
    <row r="98" spans="4:8" ht="13.8">
      <c r="D98" s="1"/>
      <c r="E98" s="1" t="str">
        <f>IF(ISERROR(VLOOKUP(D98,Categorias!A:B,2,0)),"",VLOOKUP(D98,Categorias!A:B,2,0))</f>
        <v/>
      </c>
      <c r="F98" s="80"/>
      <c r="G98" s="5"/>
      <c r="H98" s="73">
        <f t="shared" si="1"/>
        <v>0</v>
      </c>
    </row>
    <row r="99" spans="4:8" ht="13.8">
      <c r="D99" s="1"/>
      <c r="E99" s="1" t="str">
        <f>IF(ISERROR(VLOOKUP(D99,Categorias!A:B,2,0)),"",VLOOKUP(D99,Categorias!A:B,2,0))</f>
        <v/>
      </c>
      <c r="F99" s="80"/>
      <c r="G99" s="5"/>
      <c r="H99" s="73">
        <f t="shared" si="1"/>
        <v>0</v>
      </c>
    </row>
    <row r="100" spans="4:8" ht="13.8">
      <c r="D100" s="1"/>
      <c r="E100" s="1" t="str">
        <f>IF(ISERROR(VLOOKUP(D100,Categorias!A:B,2,0)),"",VLOOKUP(D100,Categorias!A:B,2,0))</f>
        <v/>
      </c>
      <c r="F100" s="80"/>
      <c r="G100" s="5"/>
      <c r="H100" s="73">
        <f t="shared" si="1"/>
        <v>0</v>
      </c>
    </row>
    <row r="101" spans="4:8" ht="13.8">
      <c r="D101" s="1"/>
      <c r="E101" s="1" t="str">
        <f>IF(ISERROR(VLOOKUP(D101,Categorias!A:B,2,0)),"",VLOOKUP(D101,Categorias!A:B,2,0))</f>
        <v/>
      </c>
      <c r="F101" s="80"/>
      <c r="G101" s="5"/>
      <c r="H101" s="73">
        <f t="shared" si="1"/>
        <v>0</v>
      </c>
    </row>
    <row r="102" spans="4:8" ht="13.8">
      <c r="D102" s="1"/>
      <c r="E102" s="1" t="str">
        <f>IF(ISERROR(VLOOKUP(D102,Categorias!A:B,2,0)),"",VLOOKUP(D102,Categorias!A:B,2,0))</f>
        <v/>
      </c>
      <c r="F102" s="80"/>
      <c r="G102" s="5"/>
      <c r="H102" s="73">
        <f t="shared" si="1"/>
        <v>0</v>
      </c>
    </row>
    <row r="103" spans="4:8" ht="13.8">
      <c r="D103" s="1"/>
      <c r="E103" s="1" t="str">
        <f>IF(ISERROR(VLOOKUP(D103,Categorias!A:B,2,0)),"",VLOOKUP(D103,Categorias!A:B,2,0))</f>
        <v/>
      </c>
      <c r="F103" s="80"/>
      <c r="G103" s="5"/>
      <c r="H103" s="73">
        <f t="shared" si="1"/>
        <v>0</v>
      </c>
    </row>
    <row r="104" spans="4:8" ht="13.8">
      <c r="D104" s="1"/>
      <c r="E104" s="1" t="str">
        <f>IF(ISERROR(VLOOKUP(D104,Categorias!A:B,2,0)),"",VLOOKUP(D104,Categorias!A:B,2,0))</f>
        <v/>
      </c>
      <c r="F104" s="80"/>
      <c r="G104" s="5"/>
      <c r="H104" s="73">
        <f t="shared" si="1"/>
        <v>0</v>
      </c>
    </row>
    <row r="105" spans="4:8" ht="13.8">
      <c r="D105" s="1"/>
      <c r="E105" s="1" t="str">
        <f>IF(ISERROR(VLOOKUP(D105,Categorias!A:B,2,0)),"",VLOOKUP(D105,Categorias!A:B,2,0))</f>
        <v/>
      </c>
      <c r="F105" s="80"/>
      <c r="G105" s="5"/>
      <c r="H105" s="73">
        <f t="shared" si="1"/>
        <v>0</v>
      </c>
    </row>
    <row r="106" spans="4:8" ht="13.8">
      <c r="D106" s="1"/>
      <c r="E106" s="1" t="str">
        <f>IF(ISERROR(VLOOKUP(D106,Categorias!A:B,2,0)),"",VLOOKUP(D106,Categorias!A:B,2,0))</f>
        <v/>
      </c>
      <c r="F106" s="80"/>
      <c r="G106" s="5"/>
      <c r="H106" s="73">
        <f t="shared" si="1"/>
        <v>0</v>
      </c>
    </row>
    <row r="107" spans="4:8" ht="13.8">
      <c r="D107" s="1"/>
      <c r="E107" s="1" t="str">
        <f>IF(ISERROR(VLOOKUP(D107,Categorias!A:B,2,0)),"",VLOOKUP(D107,Categorias!A:B,2,0))</f>
        <v/>
      </c>
      <c r="F107" s="80"/>
      <c r="G107" s="5"/>
      <c r="H107" s="73">
        <f t="shared" si="1"/>
        <v>0</v>
      </c>
    </row>
    <row r="108" spans="4:8" ht="13.8">
      <c r="D108" s="1"/>
      <c r="E108" s="1" t="str">
        <f>IF(ISERROR(VLOOKUP(D108,Categorias!A:B,2,0)),"",VLOOKUP(D108,Categorias!A:B,2,0))</f>
        <v/>
      </c>
      <c r="F108" s="80"/>
      <c r="G108" s="5"/>
      <c r="H108" s="73">
        <f t="shared" si="1"/>
        <v>0</v>
      </c>
    </row>
    <row r="109" spans="4:8" ht="13.8">
      <c r="D109" s="1"/>
      <c r="E109" s="1" t="str">
        <f>IF(ISERROR(VLOOKUP(D109,Categorias!A:B,2,0)),"",VLOOKUP(D109,Categorias!A:B,2,0))</f>
        <v/>
      </c>
      <c r="F109" s="80"/>
      <c r="G109" s="5"/>
      <c r="H109" s="73">
        <f t="shared" si="1"/>
        <v>0</v>
      </c>
    </row>
    <row r="110" spans="4:8" ht="13.8">
      <c r="D110" s="1"/>
      <c r="E110" s="1" t="str">
        <f>IF(ISERROR(VLOOKUP(D110,Categorias!A:B,2,0)),"",VLOOKUP(D110,Categorias!A:B,2,0))</f>
        <v/>
      </c>
      <c r="F110" s="80"/>
      <c r="G110" s="5"/>
      <c r="H110" s="73">
        <f t="shared" si="1"/>
        <v>0</v>
      </c>
    </row>
    <row r="111" spans="4:8" ht="13.8">
      <c r="D111" s="1"/>
      <c r="E111" s="1" t="str">
        <f>IF(ISERROR(VLOOKUP(D111,Categorias!A:B,2,0)),"",VLOOKUP(D111,Categorias!A:B,2,0))</f>
        <v/>
      </c>
      <c r="F111" s="80"/>
      <c r="G111" s="5"/>
      <c r="H111" s="73">
        <f t="shared" si="1"/>
        <v>0</v>
      </c>
    </row>
    <row r="112" spans="4:8" ht="13.8">
      <c r="D112" s="1"/>
      <c r="E112" s="1" t="str">
        <f>IF(ISERROR(VLOOKUP(D112,Categorias!A:B,2,0)),"",VLOOKUP(D112,Categorias!A:B,2,0))</f>
        <v/>
      </c>
      <c r="F112" s="80"/>
      <c r="G112" s="5"/>
      <c r="H112" s="73">
        <f t="shared" si="1"/>
        <v>0</v>
      </c>
    </row>
    <row r="113" spans="4:8" ht="13.8">
      <c r="D113" s="1"/>
      <c r="E113" s="1" t="str">
        <f>IF(ISERROR(VLOOKUP(D113,Categorias!A:B,2,0)),"",VLOOKUP(D113,Categorias!A:B,2,0))</f>
        <v/>
      </c>
      <c r="F113" s="80"/>
      <c r="G113" s="5"/>
      <c r="H113" s="73">
        <f t="shared" si="1"/>
        <v>0</v>
      </c>
    </row>
    <row r="114" spans="4:8" ht="13.8">
      <c r="D114" s="1"/>
      <c r="E114" s="1" t="str">
        <f>IF(ISERROR(VLOOKUP(D114,Categorias!A:B,2,0)),"",VLOOKUP(D114,Categorias!A:B,2,0))</f>
        <v/>
      </c>
      <c r="F114" s="80"/>
      <c r="G114" s="5"/>
      <c r="H114" s="73">
        <f t="shared" si="1"/>
        <v>0</v>
      </c>
    </row>
    <row r="115" spans="4:8" ht="13.8">
      <c r="D115" s="1"/>
      <c r="E115" s="1" t="str">
        <f>IF(ISERROR(VLOOKUP(D115,Categorias!A:B,2,0)),"",VLOOKUP(D115,Categorias!A:B,2,0))</f>
        <v/>
      </c>
      <c r="F115" s="80"/>
      <c r="G115" s="5"/>
      <c r="H115" s="73">
        <f t="shared" si="1"/>
        <v>0</v>
      </c>
    </row>
    <row r="116" spans="4:8" ht="13.8">
      <c r="D116" s="1"/>
      <c r="E116" s="1" t="str">
        <f>IF(ISERROR(VLOOKUP(D116,Categorias!A:B,2,0)),"",VLOOKUP(D116,Categorias!A:B,2,0))</f>
        <v/>
      </c>
      <c r="F116" s="80"/>
      <c r="G116" s="5"/>
      <c r="H116" s="73">
        <f t="shared" si="1"/>
        <v>0</v>
      </c>
    </row>
    <row r="117" spans="4:8" ht="13.8">
      <c r="D117" s="1"/>
      <c r="E117" s="1" t="str">
        <f>IF(ISERROR(VLOOKUP(D117,Categorias!A:B,2,0)),"",VLOOKUP(D117,Categorias!A:B,2,0))</f>
        <v/>
      </c>
      <c r="F117" s="80"/>
      <c r="G117" s="5"/>
      <c r="H117" s="73">
        <f t="shared" si="1"/>
        <v>0</v>
      </c>
    </row>
    <row r="118" spans="4:8" ht="13.8">
      <c r="D118" s="1"/>
      <c r="E118" s="1" t="str">
        <f>IF(ISERROR(VLOOKUP(D118,Categorias!A:B,2,0)),"",VLOOKUP(D118,Categorias!A:B,2,0))</f>
        <v/>
      </c>
      <c r="F118" s="80"/>
      <c r="G118" s="5"/>
      <c r="H118" s="73">
        <f t="shared" si="1"/>
        <v>0</v>
      </c>
    </row>
    <row r="119" spans="4:8" ht="13.8">
      <c r="D119" s="1"/>
      <c r="E119" s="1" t="str">
        <f>IF(ISERROR(VLOOKUP(D119,Categorias!A:B,2,0)),"",VLOOKUP(D119,Categorias!A:B,2,0))</f>
        <v/>
      </c>
      <c r="F119" s="80"/>
      <c r="G119" s="5"/>
      <c r="H119" s="73">
        <f t="shared" si="1"/>
        <v>0</v>
      </c>
    </row>
    <row r="120" spans="4:8" ht="13.8">
      <c r="D120" s="1"/>
      <c r="E120" s="1" t="str">
        <f>IF(ISERROR(VLOOKUP(D120,Categorias!A:B,2,0)),"",VLOOKUP(D120,Categorias!A:B,2,0))</f>
        <v/>
      </c>
      <c r="F120" s="80"/>
      <c r="G120" s="5"/>
      <c r="H120" s="73">
        <f t="shared" si="1"/>
        <v>0</v>
      </c>
    </row>
    <row r="121" spans="4:8" ht="13.8">
      <c r="D121" s="1"/>
      <c r="E121" s="1" t="str">
        <f>IF(ISERROR(VLOOKUP(D121,Categorias!A:B,2,0)),"",VLOOKUP(D121,Categorias!A:B,2,0))</f>
        <v/>
      </c>
      <c r="F121" s="80"/>
      <c r="G121" s="5"/>
      <c r="H121" s="73">
        <f t="shared" si="1"/>
        <v>0</v>
      </c>
    </row>
    <row r="122" spans="4:8" ht="13.8">
      <c r="D122" s="1"/>
      <c r="E122" s="1" t="str">
        <f>IF(ISERROR(VLOOKUP(D122,Categorias!A:B,2,0)),"",VLOOKUP(D122,Categorias!A:B,2,0))</f>
        <v/>
      </c>
      <c r="F122" s="80"/>
      <c r="G122" s="5"/>
      <c r="H122" s="73">
        <f t="shared" si="1"/>
        <v>0</v>
      </c>
    </row>
    <row r="123" spans="4:8" ht="13.8">
      <c r="D123" s="1"/>
      <c r="E123" s="1" t="str">
        <f>IF(ISERROR(VLOOKUP(D123,Categorias!A:B,2,0)),"",VLOOKUP(D123,Categorias!A:B,2,0))</f>
        <v/>
      </c>
      <c r="F123" s="80"/>
      <c r="G123" s="5"/>
      <c r="H123" s="73">
        <f t="shared" si="1"/>
        <v>0</v>
      </c>
    </row>
    <row r="124" spans="4:8" ht="13.8">
      <c r="D124" s="1"/>
      <c r="E124" s="1" t="str">
        <f>IF(ISERROR(VLOOKUP(D124,Categorias!A:B,2,0)),"",VLOOKUP(D124,Categorias!A:B,2,0))</f>
        <v/>
      </c>
      <c r="F124" s="80"/>
      <c r="G124" s="5"/>
      <c r="H124" s="73">
        <f t="shared" si="1"/>
        <v>0</v>
      </c>
    </row>
    <row r="125" spans="4:8" ht="13.8">
      <c r="D125" s="1"/>
      <c r="E125" s="1" t="str">
        <f>IF(ISERROR(VLOOKUP(D125,Categorias!A:B,2,0)),"",VLOOKUP(D125,Categorias!A:B,2,0))</f>
        <v/>
      </c>
      <c r="F125" s="80"/>
      <c r="G125" s="5"/>
      <c r="H125" s="73">
        <f t="shared" si="1"/>
        <v>0</v>
      </c>
    </row>
    <row r="126" spans="4:8" ht="13.8">
      <c r="D126" s="1"/>
      <c r="E126" s="1" t="str">
        <f>IF(ISERROR(VLOOKUP(D126,Categorias!A:B,2,0)),"",VLOOKUP(D126,Categorias!A:B,2,0))</f>
        <v/>
      </c>
      <c r="F126" s="80"/>
      <c r="G126" s="5"/>
      <c r="H126" s="73">
        <f t="shared" si="1"/>
        <v>0</v>
      </c>
    </row>
    <row r="127" spans="4:8" ht="13.8">
      <c r="D127" s="1"/>
      <c r="E127" s="1" t="str">
        <f>IF(ISERROR(VLOOKUP(D127,Categorias!A:B,2,0)),"",VLOOKUP(D127,Categorias!A:B,2,0))</f>
        <v/>
      </c>
      <c r="F127" s="80"/>
      <c r="G127" s="5"/>
      <c r="H127" s="73">
        <f t="shared" si="1"/>
        <v>0</v>
      </c>
    </row>
    <row r="128" spans="4:8" ht="13.8">
      <c r="D128" s="1"/>
      <c r="E128" s="1" t="str">
        <f>IF(ISERROR(VLOOKUP(D128,Categorias!A:B,2,0)),"",VLOOKUP(D128,Categorias!A:B,2,0))</f>
        <v/>
      </c>
      <c r="F128" s="80"/>
      <c r="G128" s="5"/>
      <c r="H128" s="73">
        <f t="shared" si="1"/>
        <v>0</v>
      </c>
    </row>
    <row r="129" spans="4:8" ht="13.8">
      <c r="D129" s="1"/>
      <c r="E129" s="1" t="str">
        <f>IF(ISERROR(VLOOKUP(D129,Categorias!A:B,2,0)),"",VLOOKUP(D129,Categorias!A:B,2,0))</f>
        <v/>
      </c>
      <c r="F129" s="80"/>
      <c r="G129" s="5"/>
      <c r="H129" s="73">
        <f t="shared" si="1"/>
        <v>0</v>
      </c>
    </row>
    <row r="130" spans="4:8" ht="13.8">
      <c r="D130" s="1"/>
      <c r="E130" s="1" t="str">
        <f>IF(ISERROR(VLOOKUP(D130,Categorias!A:B,2,0)),"",VLOOKUP(D130,Categorias!A:B,2,0))</f>
        <v/>
      </c>
      <c r="F130" s="80"/>
      <c r="G130" s="5"/>
      <c r="H130" s="73">
        <f t="shared" si="1"/>
        <v>0</v>
      </c>
    </row>
    <row r="131" spans="4:8" ht="13.8">
      <c r="D131" s="1"/>
      <c r="E131" s="1" t="str">
        <f>IF(ISERROR(VLOOKUP(D131,Categorias!A:B,2,0)),"",VLOOKUP(D131,Categorias!A:B,2,0))</f>
        <v/>
      </c>
      <c r="F131" s="80"/>
      <c r="G131" s="5"/>
      <c r="H131" s="73">
        <f t="shared" si="1"/>
        <v>0</v>
      </c>
    </row>
    <row r="132" spans="4:8" ht="13.8">
      <c r="D132" s="1"/>
      <c r="E132" s="1" t="str">
        <f>IF(ISERROR(VLOOKUP(D132,Categorias!A:B,2,0)),"",VLOOKUP(D132,Categorias!A:B,2,0))</f>
        <v/>
      </c>
      <c r="F132" s="80"/>
      <c r="G132" s="5"/>
      <c r="H132" s="73">
        <f t="shared" si="1"/>
        <v>0</v>
      </c>
    </row>
    <row r="133" spans="4:8" ht="13.8">
      <c r="D133" s="1"/>
      <c r="E133" s="1" t="str">
        <f>IF(ISERROR(VLOOKUP(D133,Categorias!A:B,2,0)),"",VLOOKUP(D133,Categorias!A:B,2,0))</f>
        <v/>
      </c>
      <c r="F133" s="80"/>
      <c r="G133" s="5"/>
      <c r="H133" s="73">
        <f t="shared" si="1"/>
        <v>0</v>
      </c>
    </row>
    <row r="134" spans="4:8" ht="13.8">
      <c r="D134" s="1"/>
      <c r="E134" s="1" t="str">
        <f>IF(ISERROR(VLOOKUP(D134,Categorias!A:B,2,0)),"",VLOOKUP(D134,Categorias!A:B,2,0))</f>
        <v/>
      </c>
      <c r="F134" s="80"/>
      <c r="G134" s="5"/>
      <c r="H134" s="73">
        <f t="shared" si="1"/>
        <v>0</v>
      </c>
    </row>
    <row r="135" spans="4:8" ht="13.8">
      <c r="D135" s="1"/>
      <c r="E135" s="1" t="str">
        <f>IF(ISERROR(VLOOKUP(D135,Categorias!A:B,2,0)),"",VLOOKUP(D135,Categorias!A:B,2,0))</f>
        <v/>
      </c>
      <c r="F135" s="80"/>
      <c r="G135" s="5"/>
      <c r="H135" s="73">
        <f t="shared" si="1"/>
        <v>0</v>
      </c>
    </row>
    <row r="136" spans="4:8" ht="13.8">
      <c r="D136" s="1"/>
      <c r="E136" s="1" t="str">
        <f>IF(ISERROR(VLOOKUP(D136,Categorias!A:B,2,0)),"",VLOOKUP(D136,Categorias!A:B,2,0))</f>
        <v/>
      </c>
      <c r="F136" s="80"/>
      <c r="G136" s="5"/>
      <c r="H136" s="73">
        <f t="shared" si="1"/>
        <v>0</v>
      </c>
    </row>
    <row r="137" spans="4:8" ht="13.8">
      <c r="D137" s="1"/>
      <c r="E137" s="1" t="str">
        <f>IF(ISERROR(VLOOKUP(D137,Categorias!A:B,2,0)),"",VLOOKUP(D137,Categorias!A:B,2,0))</f>
        <v/>
      </c>
      <c r="F137" s="80"/>
      <c r="G137" s="5"/>
      <c r="H137" s="73">
        <f t="shared" si="1"/>
        <v>0</v>
      </c>
    </row>
    <row r="138" spans="4:8" ht="13.8">
      <c r="D138" s="1"/>
      <c r="E138" s="1" t="str">
        <f>IF(ISERROR(VLOOKUP(D138,Categorias!A:B,2,0)),"",VLOOKUP(D138,Categorias!A:B,2,0))</f>
        <v/>
      </c>
      <c r="F138" s="80"/>
      <c r="G138" s="5"/>
      <c r="H138" s="73">
        <f t="shared" si="1"/>
        <v>0</v>
      </c>
    </row>
    <row r="139" spans="4:8" ht="13.8">
      <c r="D139" s="1"/>
      <c r="E139" s="1" t="str">
        <f>IF(ISERROR(VLOOKUP(D139,Categorias!A:B,2,0)),"",VLOOKUP(D139,Categorias!A:B,2,0))</f>
        <v/>
      </c>
      <c r="F139" s="80"/>
      <c r="G139" s="5"/>
      <c r="H139" s="73">
        <f t="shared" si="1"/>
        <v>0</v>
      </c>
    </row>
    <row r="140" spans="4:8" ht="13.8">
      <c r="D140" s="1"/>
      <c r="E140" s="1" t="str">
        <f>IF(ISERROR(VLOOKUP(D140,Categorias!A:B,2,0)),"",VLOOKUP(D140,Categorias!A:B,2,0))</f>
        <v/>
      </c>
      <c r="F140" s="80"/>
      <c r="G140" s="5"/>
      <c r="H140" s="73">
        <f t="shared" si="1"/>
        <v>0</v>
      </c>
    </row>
    <row r="141" spans="4:8" ht="13.8">
      <c r="D141" s="1"/>
      <c r="E141" s="1" t="str">
        <f>IF(ISERROR(VLOOKUP(D141,Categorias!A:B,2,0)),"",VLOOKUP(D141,Categorias!A:B,2,0))</f>
        <v/>
      </c>
      <c r="F141" s="80"/>
      <c r="G141" s="5"/>
      <c r="H141" s="73">
        <f t="shared" si="1"/>
        <v>0</v>
      </c>
    </row>
    <row r="142" spans="4:8" ht="13.8">
      <c r="D142" s="1"/>
      <c r="E142" s="1" t="str">
        <f>IF(ISERROR(VLOOKUP(D142,Categorias!A:B,2,0)),"",VLOOKUP(D142,Categorias!A:B,2,0))</f>
        <v/>
      </c>
      <c r="F142" s="80"/>
      <c r="G142" s="5"/>
      <c r="H142" s="73">
        <f t="shared" ref="H142:H205" si="2">H141+F142-G142</f>
        <v>0</v>
      </c>
    </row>
    <row r="143" spans="4:8" ht="13.8">
      <c r="D143" s="1"/>
      <c r="E143" s="1" t="str">
        <f>IF(ISERROR(VLOOKUP(D143,Categorias!A:B,2,0)),"",VLOOKUP(D143,Categorias!A:B,2,0))</f>
        <v/>
      </c>
      <c r="F143" s="80"/>
      <c r="G143" s="5"/>
      <c r="H143" s="73">
        <f t="shared" si="2"/>
        <v>0</v>
      </c>
    </row>
    <row r="144" spans="4:8" ht="13.8">
      <c r="D144" s="1"/>
      <c r="E144" s="1" t="str">
        <f>IF(ISERROR(VLOOKUP(D144,Categorias!A:B,2,0)),"",VLOOKUP(D144,Categorias!A:B,2,0))</f>
        <v/>
      </c>
      <c r="F144" s="80"/>
      <c r="G144" s="5"/>
      <c r="H144" s="73">
        <f t="shared" si="2"/>
        <v>0</v>
      </c>
    </row>
    <row r="145" spans="4:8" ht="13.8">
      <c r="D145" s="1"/>
      <c r="E145" s="1" t="str">
        <f>IF(ISERROR(VLOOKUP(D145,Categorias!A:B,2,0)),"",VLOOKUP(D145,Categorias!A:B,2,0))</f>
        <v/>
      </c>
      <c r="F145" s="80"/>
      <c r="G145" s="5"/>
      <c r="H145" s="73">
        <f t="shared" si="2"/>
        <v>0</v>
      </c>
    </row>
    <row r="146" spans="4:8" ht="13.8">
      <c r="D146" s="1"/>
      <c r="E146" s="1" t="str">
        <f>IF(ISERROR(VLOOKUP(D146,Categorias!A:B,2,0)),"",VLOOKUP(D146,Categorias!A:B,2,0))</f>
        <v/>
      </c>
      <c r="F146" s="80"/>
      <c r="G146" s="5"/>
      <c r="H146" s="73">
        <f t="shared" si="2"/>
        <v>0</v>
      </c>
    </row>
    <row r="147" spans="4:8" ht="13.8">
      <c r="D147" s="1"/>
      <c r="E147" s="1" t="str">
        <f>IF(ISERROR(VLOOKUP(D147,Categorias!A:B,2,0)),"",VLOOKUP(D147,Categorias!A:B,2,0))</f>
        <v/>
      </c>
      <c r="F147" s="80"/>
      <c r="G147" s="5"/>
      <c r="H147" s="73">
        <f t="shared" si="2"/>
        <v>0</v>
      </c>
    </row>
    <row r="148" spans="4:8" ht="13.8">
      <c r="D148" s="1"/>
      <c r="E148" s="1" t="str">
        <f>IF(ISERROR(VLOOKUP(D148,Categorias!A:B,2,0)),"",VLOOKUP(D148,Categorias!A:B,2,0))</f>
        <v/>
      </c>
      <c r="F148" s="80"/>
      <c r="G148" s="5"/>
      <c r="H148" s="73">
        <f t="shared" si="2"/>
        <v>0</v>
      </c>
    </row>
    <row r="149" spans="4:8" ht="13.8">
      <c r="D149" s="1"/>
      <c r="E149" s="1" t="str">
        <f>IF(ISERROR(VLOOKUP(D149,Categorias!A:B,2,0)),"",VLOOKUP(D149,Categorias!A:B,2,0))</f>
        <v/>
      </c>
      <c r="F149" s="80"/>
      <c r="G149" s="5"/>
      <c r="H149" s="73">
        <f t="shared" si="2"/>
        <v>0</v>
      </c>
    </row>
    <row r="150" spans="4:8" ht="13.8">
      <c r="D150" s="1"/>
      <c r="E150" s="1" t="str">
        <f>IF(ISERROR(VLOOKUP(D150,Categorias!A:B,2,0)),"",VLOOKUP(D150,Categorias!A:B,2,0))</f>
        <v/>
      </c>
      <c r="F150" s="80"/>
      <c r="G150" s="5"/>
      <c r="H150" s="73">
        <f t="shared" si="2"/>
        <v>0</v>
      </c>
    </row>
    <row r="151" spans="4:8" ht="13.8">
      <c r="D151" s="1"/>
      <c r="E151" s="1" t="str">
        <f>IF(ISERROR(VLOOKUP(D151,Categorias!A:B,2,0)),"",VLOOKUP(D151,Categorias!A:B,2,0))</f>
        <v/>
      </c>
      <c r="F151" s="80"/>
      <c r="G151" s="5"/>
      <c r="H151" s="73">
        <f t="shared" si="2"/>
        <v>0</v>
      </c>
    </row>
    <row r="152" spans="4:8" ht="13.8">
      <c r="D152" s="1"/>
      <c r="E152" s="1" t="str">
        <f>IF(ISERROR(VLOOKUP(D152,Categorias!A:B,2,0)),"",VLOOKUP(D152,Categorias!A:B,2,0))</f>
        <v/>
      </c>
      <c r="F152" s="80"/>
      <c r="G152" s="5"/>
      <c r="H152" s="73">
        <f t="shared" si="2"/>
        <v>0</v>
      </c>
    </row>
    <row r="153" spans="4:8" ht="13.8">
      <c r="D153" s="1"/>
      <c r="E153" s="1" t="str">
        <f>IF(ISERROR(VLOOKUP(D153,Categorias!A:B,2,0)),"",VLOOKUP(D153,Categorias!A:B,2,0))</f>
        <v/>
      </c>
      <c r="F153" s="80"/>
      <c r="G153" s="5"/>
      <c r="H153" s="73">
        <f t="shared" si="2"/>
        <v>0</v>
      </c>
    </row>
    <row r="154" spans="4:8" ht="13.8">
      <c r="D154" s="1"/>
      <c r="E154" s="1" t="str">
        <f>IF(ISERROR(VLOOKUP(D154,Categorias!A:B,2,0)),"",VLOOKUP(D154,Categorias!A:B,2,0))</f>
        <v/>
      </c>
      <c r="F154" s="80"/>
      <c r="G154" s="5"/>
      <c r="H154" s="73">
        <f t="shared" si="2"/>
        <v>0</v>
      </c>
    </row>
    <row r="155" spans="4:8" ht="13.8">
      <c r="D155" s="1"/>
      <c r="E155" s="1" t="str">
        <f>IF(ISERROR(VLOOKUP(D155,Categorias!A:B,2,0)),"",VLOOKUP(D155,Categorias!A:B,2,0))</f>
        <v/>
      </c>
      <c r="F155" s="80"/>
      <c r="G155" s="5"/>
      <c r="H155" s="73">
        <f t="shared" si="2"/>
        <v>0</v>
      </c>
    </row>
    <row r="156" spans="4:8" ht="13.8">
      <c r="D156" s="1"/>
      <c r="E156" s="1" t="str">
        <f>IF(ISERROR(VLOOKUP(D156,Categorias!A:B,2,0)),"",VLOOKUP(D156,Categorias!A:B,2,0))</f>
        <v/>
      </c>
      <c r="F156" s="80"/>
      <c r="G156" s="5"/>
      <c r="H156" s="73">
        <f t="shared" si="2"/>
        <v>0</v>
      </c>
    </row>
    <row r="157" spans="4:8" ht="13.8">
      <c r="D157" s="1"/>
      <c r="E157" s="1" t="str">
        <f>IF(ISERROR(VLOOKUP(D157,Categorias!A:B,2,0)),"",VLOOKUP(D157,Categorias!A:B,2,0))</f>
        <v/>
      </c>
      <c r="F157" s="80"/>
      <c r="G157" s="5"/>
      <c r="H157" s="73">
        <f t="shared" si="2"/>
        <v>0</v>
      </c>
    </row>
    <row r="158" spans="4:8" ht="13.8">
      <c r="D158" s="1"/>
      <c r="E158" s="1" t="str">
        <f>IF(ISERROR(VLOOKUP(D158,Categorias!A:B,2,0)),"",VLOOKUP(D158,Categorias!A:B,2,0))</f>
        <v/>
      </c>
      <c r="F158" s="80"/>
      <c r="G158" s="5"/>
      <c r="H158" s="73">
        <f t="shared" si="2"/>
        <v>0</v>
      </c>
    </row>
    <row r="159" spans="4:8" ht="13.8">
      <c r="D159" s="1"/>
      <c r="E159" s="1" t="str">
        <f>IF(ISERROR(VLOOKUP(D159,Categorias!A:B,2,0)),"",VLOOKUP(D159,Categorias!A:B,2,0))</f>
        <v/>
      </c>
      <c r="F159" s="80"/>
      <c r="G159" s="5"/>
      <c r="H159" s="73">
        <f t="shared" si="2"/>
        <v>0</v>
      </c>
    </row>
    <row r="160" spans="4:8" ht="13.8">
      <c r="D160" s="1"/>
      <c r="E160" s="1" t="str">
        <f>IF(ISERROR(VLOOKUP(D160,Categorias!A:B,2,0)),"",VLOOKUP(D160,Categorias!A:B,2,0))</f>
        <v/>
      </c>
      <c r="F160" s="80"/>
      <c r="G160" s="5"/>
      <c r="H160" s="73">
        <f t="shared" si="2"/>
        <v>0</v>
      </c>
    </row>
    <row r="161" spans="4:8" ht="13.8">
      <c r="D161" s="1"/>
      <c r="E161" s="1" t="str">
        <f>IF(ISERROR(VLOOKUP(D161,Categorias!A:B,2,0)),"",VLOOKUP(D161,Categorias!A:B,2,0))</f>
        <v/>
      </c>
      <c r="F161" s="80"/>
      <c r="G161" s="5"/>
      <c r="H161" s="73">
        <f t="shared" si="2"/>
        <v>0</v>
      </c>
    </row>
    <row r="162" spans="4:8" ht="13.8">
      <c r="D162" s="1"/>
      <c r="E162" s="1" t="str">
        <f>IF(ISERROR(VLOOKUP(D162,Categorias!A:B,2,0)),"",VLOOKUP(D162,Categorias!A:B,2,0))</f>
        <v/>
      </c>
      <c r="F162" s="80"/>
      <c r="G162" s="5"/>
      <c r="H162" s="73">
        <f t="shared" si="2"/>
        <v>0</v>
      </c>
    </row>
    <row r="163" spans="4:8" ht="13.8">
      <c r="D163" s="1"/>
      <c r="E163" s="1" t="str">
        <f>IF(ISERROR(VLOOKUP(D163,Categorias!A:B,2,0)),"",VLOOKUP(D163,Categorias!A:B,2,0))</f>
        <v/>
      </c>
      <c r="F163" s="80"/>
      <c r="G163" s="5"/>
      <c r="H163" s="73">
        <f t="shared" si="2"/>
        <v>0</v>
      </c>
    </row>
    <row r="164" spans="4:8" ht="13.8">
      <c r="D164" s="1"/>
      <c r="E164" s="1" t="str">
        <f>IF(ISERROR(VLOOKUP(D164,Categorias!A:B,2,0)),"",VLOOKUP(D164,Categorias!A:B,2,0))</f>
        <v/>
      </c>
      <c r="F164" s="80"/>
      <c r="G164" s="5"/>
      <c r="H164" s="73">
        <f t="shared" si="2"/>
        <v>0</v>
      </c>
    </row>
    <row r="165" spans="4:8" ht="13.8">
      <c r="D165" s="1"/>
      <c r="E165" s="1" t="str">
        <f>IF(ISERROR(VLOOKUP(D165,Categorias!A:B,2,0)),"",VLOOKUP(D165,Categorias!A:B,2,0))</f>
        <v/>
      </c>
      <c r="F165" s="80"/>
      <c r="G165" s="5"/>
      <c r="H165" s="73">
        <f t="shared" si="2"/>
        <v>0</v>
      </c>
    </row>
    <row r="166" spans="4:8" ht="13.8">
      <c r="D166" s="1"/>
      <c r="E166" s="1" t="str">
        <f>IF(ISERROR(VLOOKUP(D166,Categorias!A:B,2,0)),"",VLOOKUP(D166,Categorias!A:B,2,0))</f>
        <v/>
      </c>
      <c r="F166" s="80"/>
      <c r="G166" s="5"/>
      <c r="H166" s="73">
        <f t="shared" si="2"/>
        <v>0</v>
      </c>
    </row>
    <row r="167" spans="4:8" ht="13.8">
      <c r="D167" s="1"/>
      <c r="E167" s="1" t="str">
        <f>IF(ISERROR(VLOOKUP(D167,Categorias!A:B,2,0)),"",VLOOKUP(D167,Categorias!A:B,2,0))</f>
        <v/>
      </c>
      <c r="F167" s="80"/>
      <c r="G167" s="5"/>
      <c r="H167" s="73">
        <f t="shared" si="2"/>
        <v>0</v>
      </c>
    </row>
    <row r="168" spans="4:8" ht="13.8">
      <c r="D168" s="1"/>
      <c r="E168" s="1" t="str">
        <f>IF(ISERROR(VLOOKUP(D168,Categorias!A:B,2,0)),"",VLOOKUP(D168,Categorias!A:B,2,0))</f>
        <v/>
      </c>
      <c r="F168" s="80"/>
      <c r="G168" s="5"/>
      <c r="H168" s="73">
        <f t="shared" si="2"/>
        <v>0</v>
      </c>
    </row>
    <row r="169" spans="4:8" ht="13.8">
      <c r="D169" s="1"/>
      <c r="E169" s="1" t="str">
        <f>IF(ISERROR(VLOOKUP(D169,Categorias!A:B,2,0)),"",VLOOKUP(D169,Categorias!A:B,2,0))</f>
        <v/>
      </c>
      <c r="F169" s="80"/>
      <c r="G169" s="5"/>
      <c r="H169" s="73">
        <f t="shared" si="2"/>
        <v>0</v>
      </c>
    </row>
    <row r="170" spans="4:8" ht="13.8">
      <c r="D170" s="1"/>
      <c r="E170" s="1" t="str">
        <f>IF(ISERROR(VLOOKUP(D170,Categorias!A:B,2,0)),"",VLOOKUP(D170,Categorias!A:B,2,0))</f>
        <v/>
      </c>
      <c r="F170" s="80"/>
      <c r="G170" s="5"/>
      <c r="H170" s="73">
        <f t="shared" si="2"/>
        <v>0</v>
      </c>
    </row>
    <row r="171" spans="4:8" ht="13.8">
      <c r="D171" s="1"/>
      <c r="E171" s="1" t="str">
        <f>IF(ISERROR(VLOOKUP(D171,Categorias!A:B,2,0)),"",VLOOKUP(D171,Categorias!A:B,2,0))</f>
        <v/>
      </c>
      <c r="F171" s="80"/>
      <c r="G171" s="5"/>
      <c r="H171" s="73">
        <f t="shared" si="2"/>
        <v>0</v>
      </c>
    </row>
    <row r="172" spans="4:8" ht="13.8">
      <c r="D172" s="1"/>
      <c r="E172" s="1" t="str">
        <f>IF(ISERROR(VLOOKUP(D172,Categorias!A:B,2,0)),"",VLOOKUP(D172,Categorias!A:B,2,0))</f>
        <v/>
      </c>
      <c r="F172" s="80"/>
      <c r="G172" s="5"/>
      <c r="H172" s="73">
        <f t="shared" si="2"/>
        <v>0</v>
      </c>
    </row>
    <row r="173" spans="4:8" ht="13.8">
      <c r="D173" s="1"/>
      <c r="E173" s="1" t="str">
        <f>IF(ISERROR(VLOOKUP(D173,Categorias!A:B,2,0)),"",VLOOKUP(D173,Categorias!A:B,2,0))</f>
        <v/>
      </c>
      <c r="F173" s="80"/>
      <c r="G173" s="5"/>
      <c r="H173" s="73">
        <f t="shared" si="2"/>
        <v>0</v>
      </c>
    </row>
    <row r="174" spans="4:8" ht="13.8">
      <c r="D174" s="1"/>
      <c r="E174" s="1" t="str">
        <f>IF(ISERROR(VLOOKUP(D174,Categorias!A:B,2,0)),"",VLOOKUP(D174,Categorias!A:B,2,0))</f>
        <v/>
      </c>
      <c r="F174" s="80"/>
      <c r="G174" s="5"/>
      <c r="H174" s="73">
        <f t="shared" si="2"/>
        <v>0</v>
      </c>
    </row>
    <row r="175" spans="4:8" ht="13.8">
      <c r="D175" s="1"/>
      <c r="E175" s="1" t="str">
        <f>IF(ISERROR(VLOOKUP(D175,Categorias!A:B,2,0)),"",VLOOKUP(D175,Categorias!A:B,2,0))</f>
        <v/>
      </c>
      <c r="F175" s="80"/>
      <c r="G175" s="5"/>
      <c r="H175" s="73">
        <f t="shared" si="2"/>
        <v>0</v>
      </c>
    </row>
    <row r="176" spans="4:8" ht="13.8">
      <c r="D176" s="1"/>
      <c r="E176" s="1" t="str">
        <f>IF(ISERROR(VLOOKUP(D176,Categorias!A:B,2,0)),"",VLOOKUP(D176,Categorias!A:B,2,0))</f>
        <v/>
      </c>
      <c r="F176" s="80"/>
      <c r="G176" s="5"/>
      <c r="H176" s="73">
        <f t="shared" si="2"/>
        <v>0</v>
      </c>
    </row>
    <row r="177" spans="4:8" ht="13.8">
      <c r="D177" s="1"/>
      <c r="E177" s="1" t="str">
        <f>IF(ISERROR(VLOOKUP(D177,Categorias!A:B,2,0)),"",VLOOKUP(D177,Categorias!A:B,2,0))</f>
        <v/>
      </c>
      <c r="F177" s="80"/>
      <c r="G177" s="5"/>
      <c r="H177" s="73">
        <f t="shared" si="2"/>
        <v>0</v>
      </c>
    </row>
    <row r="178" spans="4:8" ht="13.8">
      <c r="D178" s="1"/>
      <c r="E178" s="1" t="str">
        <f>IF(ISERROR(VLOOKUP(D178,Categorias!A:B,2,0)),"",VLOOKUP(D178,Categorias!A:B,2,0))</f>
        <v/>
      </c>
      <c r="F178" s="80"/>
      <c r="G178" s="5"/>
      <c r="H178" s="73">
        <f t="shared" si="2"/>
        <v>0</v>
      </c>
    </row>
    <row r="179" spans="4:8" ht="13.8">
      <c r="D179" s="1"/>
      <c r="E179" s="1" t="str">
        <f>IF(ISERROR(VLOOKUP(D179,Categorias!A:B,2,0)),"",VLOOKUP(D179,Categorias!A:B,2,0))</f>
        <v/>
      </c>
      <c r="F179" s="80"/>
      <c r="G179" s="5"/>
      <c r="H179" s="73">
        <f t="shared" si="2"/>
        <v>0</v>
      </c>
    </row>
    <row r="180" spans="4:8" ht="13.8">
      <c r="D180" s="1"/>
      <c r="E180" s="1" t="str">
        <f>IF(ISERROR(VLOOKUP(D180,Categorias!A:B,2,0)),"",VLOOKUP(D180,Categorias!A:B,2,0))</f>
        <v/>
      </c>
      <c r="F180" s="80"/>
      <c r="G180" s="5"/>
      <c r="H180" s="73">
        <f t="shared" si="2"/>
        <v>0</v>
      </c>
    </row>
    <row r="181" spans="4:8" ht="13.8">
      <c r="D181" s="1"/>
      <c r="E181" s="1" t="str">
        <f>IF(ISERROR(VLOOKUP(D181,Categorias!A:B,2,0)),"",VLOOKUP(D181,Categorias!A:B,2,0))</f>
        <v/>
      </c>
      <c r="F181" s="80"/>
      <c r="G181" s="5"/>
      <c r="H181" s="73">
        <f t="shared" si="2"/>
        <v>0</v>
      </c>
    </row>
    <row r="182" spans="4:8" ht="13.8">
      <c r="D182" s="1"/>
      <c r="E182" s="1" t="str">
        <f>IF(ISERROR(VLOOKUP(D182,Categorias!A:B,2,0)),"",VLOOKUP(D182,Categorias!A:B,2,0))</f>
        <v/>
      </c>
      <c r="F182" s="80"/>
      <c r="G182" s="5"/>
      <c r="H182" s="73">
        <f t="shared" si="2"/>
        <v>0</v>
      </c>
    </row>
    <row r="183" spans="4:8" ht="13.8">
      <c r="D183" s="1"/>
      <c r="E183" s="1" t="str">
        <f>IF(ISERROR(VLOOKUP(D183,Categorias!A:B,2,0)),"",VLOOKUP(D183,Categorias!A:B,2,0))</f>
        <v/>
      </c>
      <c r="F183" s="80"/>
      <c r="G183" s="5"/>
      <c r="H183" s="73">
        <f t="shared" si="2"/>
        <v>0</v>
      </c>
    </row>
    <row r="184" spans="4:8" ht="13.8">
      <c r="D184" s="1"/>
      <c r="E184" s="1" t="str">
        <f>IF(ISERROR(VLOOKUP(D184,Categorias!A:B,2,0)),"",VLOOKUP(D184,Categorias!A:B,2,0))</f>
        <v/>
      </c>
      <c r="F184" s="80"/>
      <c r="G184" s="5"/>
      <c r="H184" s="73">
        <f t="shared" si="2"/>
        <v>0</v>
      </c>
    </row>
    <row r="185" spans="4:8" ht="13.8">
      <c r="D185" s="1"/>
      <c r="E185" s="1" t="str">
        <f>IF(ISERROR(VLOOKUP(D185,Categorias!A:B,2,0)),"",VLOOKUP(D185,Categorias!A:B,2,0))</f>
        <v/>
      </c>
      <c r="F185" s="80"/>
      <c r="G185" s="5"/>
      <c r="H185" s="73">
        <f t="shared" si="2"/>
        <v>0</v>
      </c>
    </row>
    <row r="186" spans="4:8" ht="13.8">
      <c r="D186" s="1"/>
      <c r="E186" s="1" t="str">
        <f>IF(ISERROR(VLOOKUP(D186,Categorias!A:B,2,0)),"",VLOOKUP(D186,Categorias!A:B,2,0))</f>
        <v/>
      </c>
      <c r="F186" s="80"/>
      <c r="G186" s="5"/>
      <c r="H186" s="73">
        <f t="shared" si="2"/>
        <v>0</v>
      </c>
    </row>
    <row r="187" spans="4:8" ht="13.8">
      <c r="D187" s="1"/>
      <c r="E187" s="1" t="str">
        <f>IF(ISERROR(VLOOKUP(D187,Categorias!A:B,2,0)),"",VLOOKUP(D187,Categorias!A:B,2,0))</f>
        <v/>
      </c>
      <c r="F187" s="80"/>
      <c r="G187" s="5"/>
      <c r="H187" s="73">
        <f t="shared" si="2"/>
        <v>0</v>
      </c>
    </row>
    <row r="188" spans="4:8" ht="13.8">
      <c r="D188" s="1"/>
      <c r="E188" s="1" t="str">
        <f>IF(ISERROR(VLOOKUP(D188,Categorias!A:B,2,0)),"",VLOOKUP(D188,Categorias!A:B,2,0))</f>
        <v/>
      </c>
      <c r="F188" s="80"/>
      <c r="G188" s="5"/>
      <c r="H188" s="73">
        <f t="shared" si="2"/>
        <v>0</v>
      </c>
    </row>
    <row r="189" spans="4:8" ht="13.8">
      <c r="D189" s="1"/>
      <c r="E189" s="1" t="str">
        <f>IF(ISERROR(VLOOKUP(D189,Categorias!A:B,2,0)),"",VLOOKUP(D189,Categorias!A:B,2,0))</f>
        <v/>
      </c>
      <c r="F189" s="80"/>
      <c r="G189" s="5"/>
      <c r="H189" s="73">
        <f t="shared" si="2"/>
        <v>0</v>
      </c>
    </row>
    <row r="190" spans="4:8" ht="13.8">
      <c r="D190" s="1"/>
      <c r="E190" s="1" t="str">
        <f>IF(ISERROR(VLOOKUP(D190,Categorias!A:B,2,0)),"",VLOOKUP(D190,Categorias!A:B,2,0))</f>
        <v/>
      </c>
      <c r="F190" s="80"/>
      <c r="G190" s="5"/>
      <c r="H190" s="73">
        <f t="shared" si="2"/>
        <v>0</v>
      </c>
    </row>
    <row r="191" spans="4:8" ht="13.8">
      <c r="D191" s="1"/>
      <c r="E191" s="1" t="str">
        <f>IF(ISERROR(VLOOKUP(D191,Categorias!A:B,2,0)),"",VLOOKUP(D191,Categorias!A:B,2,0))</f>
        <v/>
      </c>
      <c r="F191" s="80"/>
      <c r="G191" s="5"/>
      <c r="H191" s="73">
        <f t="shared" si="2"/>
        <v>0</v>
      </c>
    </row>
    <row r="192" spans="4:8" ht="13.8">
      <c r="D192" s="1"/>
      <c r="E192" s="1" t="str">
        <f>IF(ISERROR(VLOOKUP(D192,Categorias!A:B,2,0)),"",VLOOKUP(D192,Categorias!A:B,2,0))</f>
        <v/>
      </c>
      <c r="F192" s="80"/>
      <c r="G192" s="5"/>
      <c r="H192" s="73">
        <f t="shared" si="2"/>
        <v>0</v>
      </c>
    </row>
    <row r="193" spans="4:8" ht="13.8">
      <c r="D193" s="1"/>
      <c r="E193" s="1" t="str">
        <f>IF(ISERROR(VLOOKUP(D193,Categorias!A:B,2,0)),"",VLOOKUP(D193,Categorias!A:B,2,0))</f>
        <v/>
      </c>
      <c r="F193" s="80"/>
      <c r="G193" s="5"/>
      <c r="H193" s="73">
        <f t="shared" si="2"/>
        <v>0</v>
      </c>
    </row>
    <row r="194" spans="4:8" ht="13.8">
      <c r="D194" s="1"/>
      <c r="E194" s="1" t="str">
        <f>IF(ISERROR(VLOOKUP(D194,Categorias!A:B,2,0)),"",VLOOKUP(D194,Categorias!A:B,2,0))</f>
        <v/>
      </c>
      <c r="F194" s="80"/>
      <c r="G194" s="5"/>
      <c r="H194" s="73">
        <f t="shared" si="2"/>
        <v>0</v>
      </c>
    </row>
    <row r="195" spans="4:8" ht="13.8">
      <c r="D195" s="1"/>
      <c r="E195" s="1" t="str">
        <f>IF(ISERROR(VLOOKUP(D195,Categorias!A:B,2,0)),"",VLOOKUP(D195,Categorias!A:B,2,0))</f>
        <v/>
      </c>
      <c r="F195" s="80"/>
      <c r="G195" s="5"/>
      <c r="H195" s="73">
        <f t="shared" si="2"/>
        <v>0</v>
      </c>
    </row>
    <row r="196" spans="4:8" ht="13.8">
      <c r="D196" s="1"/>
      <c r="E196" s="1" t="str">
        <f>IF(ISERROR(VLOOKUP(D196,Categorias!A:B,2,0)),"",VLOOKUP(D196,Categorias!A:B,2,0))</f>
        <v/>
      </c>
      <c r="F196" s="80"/>
      <c r="G196" s="5"/>
      <c r="H196" s="73">
        <f t="shared" si="2"/>
        <v>0</v>
      </c>
    </row>
    <row r="197" spans="4:8" ht="13.8">
      <c r="D197" s="1"/>
      <c r="E197" s="1" t="str">
        <f>IF(ISERROR(VLOOKUP(D197,Categorias!A:B,2,0)),"",VLOOKUP(D197,Categorias!A:B,2,0))</f>
        <v/>
      </c>
      <c r="F197" s="80"/>
      <c r="G197" s="5"/>
      <c r="H197" s="73">
        <f t="shared" si="2"/>
        <v>0</v>
      </c>
    </row>
    <row r="198" spans="4:8" ht="13.8">
      <c r="D198" s="1"/>
      <c r="E198" s="1" t="str">
        <f>IF(ISERROR(VLOOKUP(D198,Categorias!A:B,2,0)),"",VLOOKUP(D198,Categorias!A:B,2,0))</f>
        <v/>
      </c>
      <c r="F198" s="80"/>
      <c r="G198" s="5"/>
      <c r="H198" s="73">
        <f t="shared" si="2"/>
        <v>0</v>
      </c>
    </row>
    <row r="199" spans="4:8" ht="13.8">
      <c r="D199" s="1"/>
      <c r="E199" s="1" t="str">
        <f>IF(ISERROR(VLOOKUP(D199,Categorias!A:B,2,0)),"",VLOOKUP(D199,Categorias!A:B,2,0))</f>
        <v/>
      </c>
      <c r="F199" s="80"/>
      <c r="G199" s="5"/>
      <c r="H199" s="73">
        <f t="shared" si="2"/>
        <v>0</v>
      </c>
    </row>
    <row r="200" spans="4:8" ht="13.8">
      <c r="D200" s="1"/>
      <c r="E200" s="1" t="str">
        <f>IF(ISERROR(VLOOKUP(D200,Categorias!A:B,2,0)),"",VLOOKUP(D200,Categorias!A:B,2,0))</f>
        <v/>
      </c>
      <c r="F200" s="80"/>
      <c r="G200" s="5"/>
      <c r="H200" s="73">
        <f t="shared" si="2"/>
        <v>0</v>
      </c>
    </row>
    <row r="201" spans="4:8" ht="13.8">
      <c r="D201" s="1"/>
      <c r="E201" s="1" t="str">
        <f>IF(ISERROR(VLOOKUP(D201,Categorias!A:B,2,0)),"",VLOOKUP(D201,Categorias!A:B,2,0))</f>
        <v/>
      </c>
      <c r="F201" s="80"/>
      <c r="G201" s="5"/>
      <c r="H201" s="73">
        <f t="shared" si="2"/>
        <v>0</v>
      </c>
    </row>
    <row r="202" spans="4:8" ht="13.8">
      <c r="D202" s="1"/>
      <c r="E202" s="1" t="str">
        <f>IF(ISERROR(VLOOKUP(D202,Categorias!A:B,2,0)),"",VLOOKUP(D202,Categorias!A:B,2,0))</f>
        <v/>
      </c>
      <c r="F202" s="80"/>
      <c r="G202" s="5"/>
      <c r="H202" s="73">
        <f t="shared" si="2"/>
        <v>0</v>
      </c>
    </row>
    <row r="203" spans="4:8" ht="13.8">
      <c r="D203" s="1"/>
      <c r="E203" s="1" t="str">
        <f>IF(ISERROR(VLOOKUP(D203,Categorias!A:B,2,0)),"",VLOOKUP(D203,Categorias!A:B,2,0))</f>
        <v/>
      </c>
      <c r="F203" s="80"/>
      <c r="G203" s="5"/>
      <c r="H203" s="73">
        <f t="shared" si="2"/>
        <v>0</v>
      </c>
    </row>
    <row r="204" spans="4:8" ht="13.8">
      <c r="D204" s="1"/>
      <c r="E204" s="1" t="str">
        <f>IF(ISERROR(VLOOKUP(D204,Categorias!A:B,2,0)),"",VLOOKUP(D204,Categorias!A:B,2,0))</f>
        <v/>
      </c>
      <c r="F204" s="80"/>
      <c r="G204" s="5"/>
      <c r="H204" s="73">
        <f t="shared" si="2"/>
        <v>0</v>
      </c>
    </row>
    <row r="205" spans="4:8" ht="13.8">
      <c r="D205" s="1"/>
      <c r="E205" s="1" t="str">
        <f>IF(ISERROR(VLOOKUP(D205,Categorias!A:B,2,0)),"",VLOOKUP(D205,Categorias!A:B,2,0))</f>
        <v/>
      </c>
      <c r="F205" s="80"/>
      <c r="G205" s="5"/>
      <c r="H205" s="73">
        <f t="shared" si="2"/>
        <v>0</v>
      </c>
    </row>
    <row r="206" spans="4:8" ht="13.8">
      <c r="D206" s="1"/>
      <c r="E206" s="1" t="str">
        <f>IF(ISERROR(VLOOKUP(D206,Categorias!A:B,2,0)),"",VLOOKUP(D206,Categorias!A:B,2,0))</f>
        <v/>
      </c>
      <c r="F206" s="80"/>
      <c r="G206" s="5"/>
      <c r="H206" s="73">
        <f t="shared" ref="H206:H254" si="3">H205+F206-G206</f>
        <v>0</v>
      </c>
    </row>
    <row r="207" spans="4:8" ht="13.8">
      <c r="D207" s="1"/>
      <c r="E207" s="1" t="str">
        <f>IF(ISERROR(VLOOKUP(D207,Categorias!A:B,2,0)),"",VLOOKUP(D207,Categorias!A:B,2,0))</f>
        <v/>
      </c>
      <c r="F207" s="80"/>
      <c r="G207" s="5"/>
      <c r="H207" s="73">
        <f t="shared" si="3"/>
        <v>0</v>
      </c>
    </row>
    <row r="208" spans="4:8" ht="13.8">
      <c r="D208" s="1"/>
      <c r="E208" s="1" t="str">
        <f>IF(ISERROR(VLOOKUP(D208,Categorias!A:B,2,0)),"",VLOOKUP(D208,Categorias!A:B,2,0))</f>
        <v/>
      </c>
      <c r="F208" s="80"/>
      <c r="G208" s="5"/>
      <c r="H208" s="73">
        <f t="shared" si="3"/>
        <v>0</v>
      </c>
    </row>
    <row r="209" spans="4:8" ht="13.8">
      <c r="D209" s="1"/>
      <c r="E209" s="1" t="str">
        <f>IF(ISERROR(VLOOKUP(D209,Categorias!A:B,2,0)),"",VLOOKUP(D209,Categorias!A:B,2,0))</f>
        <v/>
      </c>
      <c r="F209" s="80"/>
      <c r="G209" s="5"/>
      <c r="H209" s="73">
        <f t="shared" si="3"/>
        <v>0</v>
      </c>
    </row>
    <row r="210" spans="4:8" ht="13.8">
      <c r="D210" s="1"/>
      <c r="E210" s="1" t="str">
        <f>IF(ISERROR(VLOOKUP(D210,Categorias!A:B,2,0)),"",VLOOKUP(D210,Categorias!A:B,2,0))</f>
        <v/>
      </c>
      <c r="F210" s="80"/>
      <c r="G210" s="5"/>
      <c r="H210" s="73">
        <f t="shared" si="3"/>
        <v>0</v>
      </c>
    </row>
    <row r="211" spans="4:8" ht="13.8">
      <c r="D211" s="1"/>
      <c r="E211" s="1" t="str">
        <f>IF(ISERROR(VLOOKUP(D211,Categorias!A:B,2,0)),"",VLOOKUP(D211,Categorias!A:B,2,0))</f>
        <v/>
      </c>
      <c r="F211" s="80"/>
      <c r="G211" s="5"/>
      <c r="H211" s="73">
        <f t="shared" si="3"/>
        <v>0</v>
      </c>
    </row>
    <row r="212" spans="4:8" ht="13.8">
      <c r="D212" s="1"/>
      <c r="E212" s="1" t="str">
        <f>IF(ISERROR(VLOOKUP(D212,Categorias!A:B,2,0)),"",VLOOKUP(D212,Categorias!A:B,2,0))</f>
        <v/>
      </c>
      <c r="F212" s="80"/>
      <c r="G212" s="5"/>
      <c r="H212" s="73">
        <f t="shared" si="3"/>
        <v>0</v>
      </c>
    </row>
    <row r="213" spans="4:8" ht="13.8">
      <c r="D213" s="1"/>
      <c r="E213" s="1" t="str">
        <f>IF(ISERROR(VLOOKUP(D213,Categorias!A:B,2,0)),"",VLOOKUP(D213,Categorias!A:B,2,0))</f>
        <v/>
      </c>
      <c r="F213" s="80"/>
      <c r="G213" s="5"/>
      <c r="H213" s="73">
        <f t="shared" si="3"/>
        <v>0</v>
      </c>
    </row>
    <row r="214" spans="4:8" ht="13.8">
      <c r="D214" s="1"/>
      <c r="E214" s="1" t="str">
        <f>IF(ISERROR(VLOOKUP(D214,Categorias!A:B,2,0)),"",VLOOKUP(D214,Categorias!A:B,2,0))</f>
        <v/>
      </c>
      <c r="F214" s="80"/>
      <c r="G214" s="5"/>
      <c r="H214" s="73">
        <f t="shared" si="3"/>
        <v>0</v>
      </c>
    </row>
    <row r="215" spans="4:8" ht="13.8">
      <c r="D215" s="1"/>
      <c r="E215" s="1" t="str">
        <f>IF(ISERROR(VLOOKUP(D215,Categorias!A:B,2,0)),"",VLOOKUP(D215,Categorias!A:B,2,0))</f>
        <v/>
      </c>
      <c r="F215" s="80"/>
      <c r="G215" s="5"/>
      <c r="H215" s="73">
        <f t="shared" si="3"/>
        <v>0</v>
      </c>
    </row>
    <row r="216" spans="4:8" ht="13.8">
      <c r="D216" s="1"/>
      <c r="E216" s="1" t="str">
        <f>IF(ISERROR(VLOOKUP(D216,Categorias!A:B,2,0)),"",VLOOKUP(D216,Categorias!A:B,2,0))</f>
        <v/>
      </c>
      <c r="F216" s="80"/>
      <c r="G216" s="5"/>
      <c r="H216" s="73">
        <f t="shared" si="3"/>
        <v>0</v>
      </c>
    </row>
    <row r="217" spans="4:8" ht="13.8">
      <c r="D217" s="1"/>
      <c r="E217" s="1" t="str">
        <f>IF(ISERROR(VLOOKUP(D217,Categorias!A:B,2,0)),"",VLOOKUP(D217,Categorias!A:B,2,0))</f>
        <v/>
      </c>
      <c r="F217" s="80"/>
      <c r="G217" s="5"/>
      <c r="H217" s="73">
        <f t="shared" si="3"/>
        <v>0</v>
      </c>
    </row>
    <row r="218" spans="4:8" ht="13.8">
      <c r="D218" s="1"/>
      <c r="E218" s="1" t="str">
        <f>IF(ISERROR(VLOOKUP(D218,Categorias!A:B,2,0)),"",VLOOKUP(D218,Categorias!A:B,2,0))</f>
        <v/>
      </c>
      <c r="F218" s="80"/>
      <c r="G218" s="5"/>
      <c r="H218" s="73">
        <f t="shared" si="3"/>
        <v>0</v>
      </c>
    </row>
    <row r="219" spans="4:8" ht="13.8">
      <c r="D219" s="1"/>
      <c r="E219" s="1" t="str">
        <f>IF(ISERROR(VLOOKUP(D219,Categorias!A:B,2,0)),"",VLOOKUP(D219,Categorias!A:B,2,0))</f>
        <v/>
      </c>
      <c r="F219" s="80"/>
      <c r="G219" s="5"/>
      <c r="H219" s="73">
        <f t="shared" si="3"/>
        <v>0</v>
      </c>
    </row>
    <row r="220" spans="4:8" ht="13.8">
      <c r="D220" s="1"/>
      <c r="E220" s="1" t="str">
        <f>IF(ISERROR(VLOOKUP(D220,Categorias!A:B,2,0)),"",VLOOKUP(D220,Categorias!A:B,2,0))</f>
        <v/>
      </c>
      <c r="F220" s="80"/>
      <c r="G220" s="5"/>
      <c r="H220" s="73">
        <f t="shared" si="3"/>
        <v>0</v>
      </c>
    </row>
    <row r="221" spans="4:8" ht="13.8">
      <c r="D221" s="1"/>
      <c r="E221" s="1" t="str">
        <f>IF(ISERROR(VLOOKUP(D221,Categorias!A:B,2,0)),"",VLOOKUP(D221,Categorias!A:B,2,0))</f>
        <v/>
      </c>
      <c r="F221" s="80"/>
      <c r="G221" s="5"/>
      <c r="H221" s="73">
        <f t="shared" si="3"/>
        <v>0</v>
      </c>
    </row>
    <row r="222" spans="4:8" ht="13.8">
      <c r="D222" s="1"/>
      <c r="E222" s="1" t="str">
        <f>IF(ISERROR(VLOOKUP(D222,Categorias!A:B,2,0)),"",VLOOKUP(D222,Categorias!A:B,2,0))</f>
        <v/>
      </c>
      <c r="F222" s="80"/>
      <c r="G222" s="5"/>
      <c r="H222" s="73">
        <f t="shared" si="3"/>
        <v>0</v>
      </c>
    </row>
    <row r="223" spans="4:8" ht="13.8">
      <c r="D223" s="1"/>
      <c r="E223" s="1" t="str">
        <f>IF(ISERROR(VLOOKUP(D223,Categorias!A:B,2,0)),"",VLOOKUP(D223,Categorias!A:B,2,0))</f>
        <v/>
      </c>
      <c r="F223" s="80"/>
      <c r="G223" s="5"/>
      <c r="H223" s="73">
        <f t="shared" si="3"/>
        <v>0</v>
      </c>
    </row>
    <row r="224" spans="4:8" ht="13.8">
      <c r="D224" s="1"/>
      <c r="E224" s="1" t="str">
        <f>IF(ISERROR(VLOOKUP(D224,Categorias!A:B,2,0)),"",VLOOKUP(D224,Categorias!A:B,2,0))</f>
        <v/>
      </c>
      <c r="F224" s="80"/>
      <c r="G224" s="5"/>
      <c r="H224" s="73">
        <f t="shared" si="3"/>
        <v>0</v>
      </c>
    </row>
    <row r="225" spans="4:8" ht="13.8">
      <c r="D225" s="1"/>
      <c r="E225" s="1" t="str">
        <f>IF(ISERROR(VLOOKUP(D225,Categorias!A:B,2,0)),"",VLOOKUP(D225,Categorias!A:B,2,0))</f>
        <v/>
      </c>
      <c r="F225" s="80"/>
      <c r="G225" s="5"/>
      <c r="H225" s="73">
        <f t="shared" si="3"/>
        <v>0</v>
      </c>
    </row>
    <row r="226" spans="4:8" ht="13.8">
      <c r="D226" s="1"/>
      <c r="E226" s="1" t="str">
        <f>IF(ISERROR(VLOOKUP(D226,Categorias!A:B,2,0)),"",VLOOKUP(D226,Categorias!A:B,2,0))</f>
        <v/>
      </c>
      <c r="F226" s="80"/>
      <c r="G226" s="5"/>
      <c r="H226" s="73">
        <f t="shared" si="3"/>
        <v>0</v>
      </c>
    </row>
    <row r="227" spans="4:8" ht="13.8">
      <c r="D227" s="1"/>
      <c r="E227" s="1" t="str">
        <f>IF(ISERROR(VLOOKUP(D227,Categorias!A:B,2,0)),"",VLOOKUP(D227,Categorias!A:B,2,0))</f>
        <v/>
      </c>
      <c r="F227" s="80"/>
      <c r="G227" s="5"/>
      <c r="H227" s="73">
        <f t="shared" si="3"/>
        <v>0</v>
      </c>
    </row>
    <row r="228" spans="4:8" ht="13.8">
      <c r="D228" s="1"/>
      <c r="E228" s="1" t="str">
        <f>IF(ISERROR(VLOOKUP(D228,Categorias!A:B,2,0)),"",VLOOKUP(D228,Categorias!A:B,2,0))</f>
        <v/>
      </c>
      <c r="F228" s="80"/>
      <c r="G228" s="5"/>
      <c r="H228" s="73">
        <f t="shared" si="3"/>
        <v>0</v>
      </c>
    </row>
    <row r="229" spans="4:8" ht="13.8">
      <c r="D229" s="1"/>
      <c r="E229" s="1" t="str">
        <f>IF(ISERROR(VLOOKUP(D229,Categorias!A:B,2,0)),"",VLOOKUP(D229,Categorias!A:B,2,0))</f>
        <v/>
      </c>
      <c r="F229" s="80"/>
      <c r="G229" s="5"/>
      <c r="H229" s="73">
        <f t="shared" si="3"/>
        <v>0</v>
      </c>
    </row>
    <row r="230" spans="4:8" ht="13.8">
      <c r="D230" s="1"/>
      <c r="E230" s="1" t="str">
        <f>IF(ISERROR(VLOOKUP(D230,Categorias!A:B,2,0)),"",VLOOKUP(D230,Categorias!A:B,2,0))</f>
        <v/>
      </c>
      <c r="F230" s="80"/>
      <c r="G230" s="5"/>
      <c r="H230" s="73">
        <f t="shared" si="3"/>
        <v>0</v>
      </c>
    </row>
    <row r="231" spans="4:8" ht="13.8">
      <c r="D231" s="1"/>
      <c r="E231" s="1" t="str">
        <f>IF(ISERROR(VLOOKUP(D231,Categorias!A:B,2,0)),"",VLOOKUP(D231,Categorias!A:B,2,0))</f>
        <v/>
      </c>
      <c r="F231" s="80"/>
      <c r="G231" s="5"/>
      <c r="H231" s="73">
        <f t="shared" si="3"/>
        <v>0</v>
      </c>
    </row>
    <row r="232" spans="4:8" ht="13.8">
      <c r="D232" s="1"/>
      <c r="E232" s="1" t="str">
        <f>IF(ISERROR(VLOOKUP(D232,Categorias!A:B,2,0)),"",VLOOKUP(D232,Categorias!A:B,2,0))</f>
        <v/>
      </c>
      <c r="F232" s="80"/>
      <c r="G232" s="5"/>
      <c r="H232" s="73">
        <f t="shared" si="3"/>
        <v>0</v>
      </c>
    </row>
    <row r="233" spans="4:8" ht="13.8">
      <c r="D233" s="1"/>
      <c r="E233" s="1" t="str">
        <f>IF(ISERROR(VLOOKUP(D233,Categorias!A:B,2,0)),"",VLOOKUP(D233,Categorias!A:B,2,0))</f>
        <v/>
      </c>
      <c r="F233" s="80"/>
      <c r="G233" s="5"/>
      <c r="H233" s="73">
        <f t="shared" si="3"/>
        <v>0</v>
      </c>
    </row>
    <row r="234" spans="4:8" ht="13.8">
      <c r="D234" s="1"/>
      <c r="E234" s="1" t="str">
        <f>IF(ISERROR(VLOOKUP(D234,Categorias!A:B,2,0)),"",VLOOKUP(D234,Categorias!A:B,2,0))</f>
        <v/>
      </c>
      <c r="F234" s="80"/>
      <c r="G234" s="5"/>
      <c r="H234" s="73">
        <f t="shared" si="3"/>
        <v>0</v>
      </c>
    </row>
    <row r="235" spans="4:8" ht="13.8">
      <c r="D235" s="1"/>
      <c r="E235" s="1" t="str">
        <f>IF(ISERROR(VLOOKUP(D235,Categorias!A:B,2,0)),"",VLOOKUP(D235,Categorias!A:B,2,0))</f>
        <v/>
      </c>
      <c r="F235" s="80"/>
      <c r="G235" s="5"/>
      <c r="H235" s="73">
        <f t="shared" si="3"/>
        <v>0</v>
      </c>
    </row>
    <row r="236" spans="4:8" ht="13.8">
      <c r="D236" s="1"/>
      <c r="E236" s="1" t="str">
        <f>IF(ISERROR(VLOOKUP(D236,Categorias!A:B,2,0)),"",VLOOKUP(D236,Categorias!A:B,2,0))</f>
        <v/>
      </c>
      <c r="F236" s="80"/>
      <c r="G236" s="5"/>
      <c r="H236" s="73">
        <f t="shared" si="3"/>
        <v>0</v>
      </c>
    </row>
    <row r="237" spans="4:8" ht="13.8">
      <c r="D237" s="1"/>
      <c r="E237" s="1" t="str">
        <f>IF(ISERROR(VLOOKUP(D237,Categorias!A:B,2,0)),"",VLOOKUP(D237,Categorias!A:B,2,0))</f>
        <v/>
      </c>
      <c r="F237" s="80"/>
      <c r="G237" s="5"/>
      <c r="H237" s="73">
        <f t="shared" si="3"/>
        <v>0</v>
      </c>
    </row>
    <row r="238" spans="4:8" ht="13.8">
      <c r="D238" s="1"/>
      <c r="E238" s="1" t="str">
        <f>IF(ISERROR(VLOOKUP(D238,Categorias!A:B,2,0)),"",VLOOKUP(D238,Categorias!A:B,2,0))</f>
        <v/>
      </c>
      <c r="F238" s="80"/>
      <c r="G238" s="5"/>
      <c r="H238" s="73">
        <f t="shared" si="3"/>
        <v>0</v>
      </c>
    </row>
    <row r="239" spans="4:8" ht="13.8">
      <c r="D239" s="1"/>
      <c r="E239" s="1" t="str">
        <f>IF(ISERROR(VLOOKUP(D239,Categorias!A:B,2,0)),"",VLOOKUP(D239,Categorias!A:B,2,0))</f>
        <v/>
      </c>
      <c r="F239" s="80"/>
      <c r="G239" s="5"/>
      <c r="H239" s="73">
        <f t="shared" si="3"/>
        <v>0</v>
      </c>
    </row>
    <row r="240" spans="4:8" ht="13.8">
      <c r="D240" s="1"/>
      <c r="E240" s="1" t="str">
        <f>IF(ISERROR(VLOOKUP(D240,Categorias!A:B,2,0)),"",VLOOKUP(D240,Categorias!A:B,2,0))</f>
        <v/>
      </c>
      <c r="F240" s="80"/>
      <c r="G240" s="5"/>
      <c r="H240" s="73">
        <f t="shared" si="3"/>
        <v>0</v>
      </c>
    </row>
    <row r="241" spans="4:8" ht="13.8">
      <c r="D241" s="1"/>
      <c r="E241" s="1" t="str">
        <f>IF(ISERROR(VLOOKUP(D241,Categorias!A:B,2,0)),"",VLOOKUP(D241,Categorias!A:B,2,0))</f>
        <v/>
      </c>
      <c r="F241" s="80"/>
      <c r="G241" s="5"/>
      <c r="H241" s="73">
        <f t="shared" si="3"/>
        <v>0</v>
      </c>
    </row>
    <row r="242" spans="4:8" ht="13.8">
      <c r="D242" s="1"/>
      <c r="E242" s="1" t="str">
        <f>IF(ISERROR(VLOOKUP(D242,Categorias!A:B,2,0)),"",VLOOKUP(D242,Categorias!A:B,2,0))</f>
        <v/>
      </c>
      <c r="F242" s="80"/>
      <c r="G242" s="5"/>
      <c r="H242" s="73">
        <f t="shared" si="3"/>
        <v>0</v>
      </c>
    </row>
    <row r="243" spans="4:8" ht="13.8">
      <c r="D243" s="1"/>
      <c r="E243" s="1" t="str">
        <f>IF(ISERROR(VLOOKUP(D243,Categorias!A:B,2,0)),"",VLOOKUP(D243,Categorias!A:B,2,0))</f>
        <v/>
      </c>
      <c r="F243" s="80"/>
      <c r="G243" s="5"/>
      <c r="H243" s="73">
        <f t="shared" si="3"/>
        <v>0</v>
      </c>
    </row>
    <row r="244" spans="4:8" ht="13.8">
      <c r="D244" s="1"/>
      <c r="E244" s="1" t="str">
        <f>IF(ISERROR(VLOOKUP(D244,Categorias!A:B,2,0)),"",VLOOKUP(D244,Categorias!A:B,2,0))</f>
        <v/>
      </c>
      <c r="F244" s="80"/>
      <c r="G244" s="5"/>
      <c r="H244" s="73">
        <f t="shared" si="3"/>
        <v>0</v>
      </c>
    </row>
    <row r="245" spans="4:8" ht="13.8">
      <c r="D245" s="1"/>
      <c r="E245" s="1" t="str">
        <f>IF(ISERROR(VLOOKUP(D245,Categorias!A:B,2,0)),"",VLOOKUP(D245,Categorias!A:B,2,0))</f>
        <v/>
      </c>
      <c r="F245" s="80"/>
      <c r="G245" s="5"/>
      <c r="H245" s="73">
        <f t="shared" si="3"/>
        <v>0</v>
      </c>
    </row>
    <row r="246" spans="4:8" ht="13.8">
      <c r="D246" s="1"/>
      <c r="E246" s="1" t="str">
        <f>IF(ISERROR(VLOOKUP(D246,Categorias!A:B,2,0)),"",VLOOKUP(D246,Categorias!A:B,2,0))</f>
        <v/>
      </c>
      <c r="F246" s="80"/>
      <c r="G246" s="5"/>
      <c r="H246" s="73">
        <f t="shared" si="3"/>
        <v>0</v>
      </c>
    </row>
    <row r="247" spans="4:8" ht="13.8">
      <c r="D247" s="1"/>
      <c r="E247" s="1" t="str">
        <f>IF(ISERROR(VLOOKUP(D247,Categorias!A:B,2,0)),"",VLOOKUP(D247,Categorias!A:B,2,0))</f>
        <v/>
      </c>
      <c r="F247" s="80"/>
      <c r="G247" s="5"/>
      <c r="H247" s="73">
        <f t="shared" si="3"/>
        <v>0</v>
      </c>
    </row>
    <row r="248" spans="4:8" ht="13.8">
      <c r="D248" s="1"/>
      <c r="E248" s="1" t="str">
        <f>IF(ISERROR(VLOOKUP(D248,Categorias!A:B,2,0)),"",VLOOKUP(D248,Categorias!A:B,2,0))</f>
        <v/>
      </c>
      <c r="F248" s="80"/>
      <c r="G248" s="5"/>
      <c r="H248" s="73">
        <f t="shared" si="3"/>
        <v>0</v>
      </c>
    </row>
    <row r="249" spans="4:8" ht="13.8">
      <c r="D249" s="1"/>
      <c r="E249" s="1" t="str">
        <f>IF(ISERROR(VLOOKUP(D249,Categorias!A:B,2,0)),"",VLOOKUP(D249,Categorias!A:B,2,0))</f>
        <v/>
      </c>
      <c r="F249" s="80"/>
      <c r="G249" s="5"/>
      <c r="H249" s="73">
        <f t="shared" si="3"/>
        <v>0</v>
      </c>
    </row>
    <row r="250" spans="4:8" ht="13.8">
      <c r="D250" s="1"/>
      <c r="E250" s="1" t="str">
        <f>IF(ISERROR(VLOOKUP(D250,Categorias!A:B,2,0)),"",VLOOKUP(D250,Categorias!A:B,2,0))</f>
        <v/>
      </c>
      <c r="F250" s="80"/>
      <c r="G250" s="5"/>
      <c r="H250" s="73">
        <f t="shared" si="3"/>
        <v>0</v>
      </c>
    </row>
    <row r="251" spans="4:8" ht="13.8">
      <c r="D251" s="1"/>
      <c r="E251" s="1" t="str">
        <f>IF(ISERROR(VLOOKUP(D251,Categorias!A:B,2,0)),"",VLOOKUP(D251,Categorias!A:B,2,0))</f>
        <v/>
      </c>
      <c r="F251" s="80"/>
      <c r="G251" s="5"/>
      <c r="H251" s="73">
        <f t="shared" si="3"/>
        <v>0</v>
      </c>
    </row>
    <row r="252" spans="4:8" ht="13.8">
      <c r="D252" s="1"/>
      <c r="E252" s="1" t="str">
        <f>IF(ISERROR(VLOOKUP(D252,Categorias!A:B,2,0)),"",VLOOKUP(D252,Categorias!A:B,2,0))</f>
        <v/>
      </c>
      <c r="F252" s="80"/>
      <c r="G252" s="5"/>
      <c r="H252" s="73">
        <f t="shared" si="3"/>
        <v>0</v>
      </c>
    </row>
    <row r="253" spans="4:8" ht="13.8">
      <c r="D253" s="1"/>
      <c r="E253" s="1" t="str">
        <f>IF(ISERROR(VLOOKUP(D253,Categorias!A:B,2,0)),"",VLOOKUP(D253,Categorias!A:B,2,0))</f>
        <v/>
      </c>
      <c r="F253" s="80"/>
      <c r="G253" s="5"/>
      <c r="H253" s="73">
        <f t="shared" si="3"/>
        <v>0</v>
      </c>
    </row>
    <row r="254" spans="4:8" ht="13.8">
      <c r="D254" s="1"/>
      <c r="E254" s="1" t="str">
        <f>IF(ISERROR(VLOOKUP(D254,Categorias!A:B,2,0)),"",VLOOKUP(D254,Categorias!A:B,2,0))</f>
        <v/>
      </c>
      <c r="F254" s="80"/>
      <c r="G254" s="5"/>
      <c r="H254" s="73">
        <f t="shared" si="3"/>
        <v>0</v>
      </c>
    </row>
    <row r="255" spans="4:8" ht="13.8">
      <c r="F255" s="81"/>
      <c r="G255" s="6"/>
      <c r="H255" s="60"/>
    </row>
    <row r="256" spans="4:8" ht="13.8">
      <c r="F256" s="81"/>
      <c r="G256" s="6"/>
      <c r="H256" s="60"/>
    </row>
    <row r="257" spans="6:8" ht="13.8">
      <c r="F257" s="81"/>
      <c r="G257" s="6"/>
      <c r="H257" s="60"/>
    </row>
    <row r="258" spans="6:8" ht="13.8">
      <c r="F258" s="81"/>
      <c r="G258" s="6"/>
      <c r="H258" s="60"/>
    </row>
    <row r="259" spans="6:8" ht="13.8">
      <c r="F259" s="81"/>
      <c r="G259" s="6"/>
      <c r="H259" s="60"/>
    </row>
    <row r="260" spans="6:8" ht="13.8">
      <c r="F260" s="81"/>
      <c r="G260" s="6"/>
      <c r="H260" s="60"/>
    </row>
    <row r="261" spans="6:8" ht="13.8">
      <c r="F261" s="81"/>
      <c r="G261" s="6"/>
      <c r="H261" s="60"/>
    </row>
    <row r="262" spans="6:8" ht="13.8">
      <c r="F262" s="81"/>
      <c r="G262" s="6"/>
      <c r="H262" s="60"/>
    </row>
    <row r="263" spans="6:8" ht="13.8">
      <c r="F263" s="81"/>
      <c r="G263" s="6"/>
      <c r="H263" s="60"/>
    </row>
    <row r="264" spans="6:8" ht="13.8">
      <c r="F264" s="81"/>
      <c r="G264" s="6"/>
      <c r="H264" s="60"/>
    </row>
    <row r="265" spans="6:8" ht="13.8">
      <c r="F265" s="81"/>
      <c r="G265" s="6"/>
      <c r="H265" s="60"/>
    </row>
    <row r="266" spans="6:8" ht="13.8">
      <c r="F266" s="81"/>
      <c r="G266" s="6"/>
      <c r="H266" s="60"/>
    </row>
    <row r="267" spans="6:8" ht="13.8">
      <c r="F267" s="81"/>
      <c r="G267" s="6"/>
      <c r="H267" s="60"/>
    </row>
    <row r="268" spans="6:8" ht="13.8">
      <c r="F268" s="81"/>
      <c r="G268" s="6"/>
      <c r="H268" s="60"/>
    </row>
    <row r="269" spans="6:8" ht="13.8">
      <c r="F269" s="81"/>
      <c r="G269" s="6"/>
      <c r="H269" s="60"/>
    </row>
    <row r="270" spans="6:8" ht="13.8">
      <c r="F270" s="81"/>
      <c r="G270" s="6"/>
      <c r="H270" s="60"/>
    </row>
    <row r="271" spans="6:8" ht="13.8">
      <c r="F271" s="81"/>
      <c r="G271" s="6"/>
      <c r="H271" s="60"/>
    </row>
    <row r="272" spans="6:8" ht="13.8">
      <c r="F272" s="81"/>
      <c r="G272" s="6"/>
      <c r="H272" s="60"/>
    </row>
    <row r="273" spans="6:8" ht="13.8">
      <c r="F273" s="81"/>
      <c r="G273" s="6"/>
      <c r="H273" s="60"/>
    </row>
    <row r="274" spans="6:8" ht="13.8">
      <c r="F274" s="81"/>
      <c r="G274" s="6"/>
      <c r="H274" s="60"/>
    </row>
    <row r="275" spans="6:8" ht="13.8">
      <c r="F275" s="81"/>
      <c r="G275" s="6"/>
      <c r="H275" s="60"/>
    </row>
    <row r="276" spans="6:8" ht="13.8">
      <c r="F276" s="81"/>
      <c r="G276" s="6"/>
      <c r="H276" s="60"/>
    </row>
    <row r="277" spans="6:8" ht="13.8">
      <c r="F277" s="81"/>
      <c r="G277" s="6"/>
      <c r="H277" s="60"/>
    </row>
    <row r="278" spans="6:8" ht="13.8">
      <c r="F278" s="81"/>
      <c r="G278" s="6"/>
      <c r="H278" s="60"/>
    </row>
    <row r="279" spans="6:8" ht="13.8">
      <c r="F279" s="81"/>
      <c r="G279" s="6"/>
      <c r="H279" s="60"/>
    </row>
    <row r="280" spans="6:8" ht="13.8">
      <c r="F280" s="81"/>
      <c r="G280" s="6"/>
      <c r="H280" s="60"/>
    </row>
    <row r="281" spans="6:8" ht="13.8">
      <c r="F281" s="81"/>
      <c r="G281" s="6"/>
      <c r="H281" s="60"/>
    </row>
    <row r="282" spans="6:8" ht="13.8">
      <c r="F282" s="81"/>
      <c r="G282" s="6"/>
      <c r="H282" s="60"/>
    </row>
    <row r="283" spans="6:8" ht="13.8">
      <c r="F283" s="81"/>
      <c r="G283" s="6"/>
      <c r="H283" s="60"/>
    </row>
    <row r="284" spans="6:8" ht="13.8">
      <c r="F284" s="81"/>
      <c r="G284" s="6"/>
      <c r="H284" s="60"/>
    </row>
    <row r="285" spans="6:8" ht="13.8">
      <c r="F285" s="81"/>
      <c r="G285" s="6"/>
      <c r="H285" s="60"/>
    </row>
    <row r="286" spans="6:8" ht="13.8">
      <c r="F286" s="81"/>
      <c r="G286" s="6"/>
      <c r="H286" s="60"/>
    </row>
    <row r="287" spans="6:8" ht="13.8">
      <c r="F287" s="81"/>
      <c r="G287" s="6"/>
      <c r="H287" s="60"/>
    </row>
    <row r="288" spans="6:8" ht="13.8">
      <c r="F288" s="81"/>
      <c r="G288" s="6"/>
      <c r="H288" s="60"/>
    </row>
    <row r="289" spans="6:8" ht="13.8">
      <c r="F289" s="81"/>
      <c r="G289" s="6"/>
      <c r="H289" s="60"/>
    </row>
    <row r="290" spans="6:8" ht="13.8">
      <c r="F290" s="81"/>
      <c r="G290" s="6"/>
      <c r="H290" s="60"/>
    </row>
    <row r="291" spans="6:8" ht="13.8">
      <c r="F291" s="81"/>
      <c r="G291" s="6"/>
      <c r="H291" s="60"/>
    </row>
    <row r="292" spans="6:8" ht="13.8">
      <c r="F292" s="81"/>
      <c r="G292" s="6"/>
      <c r="H292" s="60"/>
    </row>
    <row r="293" spans="6:8" ht="13.8">
      <c r="F293" s="81"/>
      <c r="G293" s="6"/>
      <c r="H293" s="60"/>
    </row>
    <row r="294" spans="6:8" ht="13.8">
      <c r="F294" s="81"/>
      <c r="G294" s="6"/>
      <c r="H294" s="60"/>
    </row>
    <row r="295" spans="6:8" ht="13.8">
      <c r="F295" s="81"/>
      <c r="G295" s="6"/>
      <c r="H295" s="60"/>
    </row>
    <row r="296" spans="6:8" ht="13.8">
      <c r="F296" s="81"/>
      <c r="G296" s="6"/>
      <c r="H296" s="60"/>
    </row>
    <row r="297" spans="6:8" ht="13.8">
      <c r="F297" s="81"/>
      <c r="G297" s="6"/>
      <c r="H297" s="60"/>
    </row>
    <row r="298" spans="6:8" ht="13.8">
      <c r="F298" s="81"/>
      <c r="G298" s="6"/>
      <c r="H298" s="60"/>
    </row>
    <row r="299" spans="6:8" ht="13.8">
      <c r="F299" s="81"/>
      <c r="G299" s="6"/>
      <c r="H299" s="60"/>
    </row>
    <row r="300" spans="6:8" ht="13.8">
      <c r="F300" s="81"/>
      <c r="G300" s="6"/>
      <c r="H300" s="60"/>
    </row>
    <row r="301" spans="6:8" ht="13.8">
      <c r="F301" s="81"/>
      <c r="G301" s="6"/>
      <c r="H301" s="60"/>
    </row>
    <row r="302" spans="6:8" ht="13.8">
      <c r="F302" s="81"/>
      <c r="G302" s="6"/>
      <c r="H302" s="60"/>
    </row>
    <row r="303" spans="6:8" ht="13.8">
      <c r="F303" s="81"/>
      <c r="G303" s="6"/>
      <c r="H303" s="60"/>
    </row>
    <row r="304" spans="6:8" ht="13.8">
      <c r="F304" s="81"/>
      <c r="G304" s="6"/>
      <c r="H304" s="60"/>
    </row>
    <row r="305" spans="6:8" ht="13.8">
      <c r="F305" s="81"/>
      <c r="G305" s="6"/>
      <c r="H305" s="60"/>
    </row>
    <row r="306" spans="6:8" ht="13.8">
      <c r="F306" s="81"/>
      <c r="G306" s="6"/>
      <c r="H306" s="60"/>
    </row>
    <row r="307" spans="6:8" ht="13.8">
      <c r="F307" s="81"/>
      <c r="G307" s="6"/>
      <c r="H307" s="60"/>
    </row>
    <row r="308" spans="6:8" ht="13.8">
      <c r="F308" s="81"/>
      <c r="G308" s="6"/>
      <c r="H308" s="60"/>
    </row>
    <row r="309" spans="6:8" ht="13.8">
      <c r="F309" s="81"/>
      <c r="G309" s="6"/>
      <c r="H309" s="60"/>
    </row>
    <row r="310" spans="6:8" ht="13.8">
      <c r="F310" s="81"/>
      <c r="G310" s="6"/>
      <c r="H310" s="60"/>
    </row>
    <row r="311" spans="6:8" ht="13.8">
      <c r="F311" s="81"/>
      <c r="G311" s="6"/>
      <c r="H311" s="60"/>
    </row>
    <row r="312" spans="6:8" ht="13.8">
      <c r="F312" s="81"/>
      <c r="G312" s="6"/>
      <c r="H312" s="60"/>
    </row>
    <row r="313" spans="6:8" ht="13.8">
      <c r="F313" s="81"/>
      <c r="G313" s="6"/>
      <c r="H313" s="60"/>
    </row>
    <row r="314" spans="6:8" ht="13.8">
      <c r="F314" s="81"/>
      <c r="G314" s="6"/>
      <c r="H314" s="60"/>
    </row>
    <row r="315" spans="6:8" ht="13.8">
      <c r="F315" s="81"/>
      <c r="G315" s="6"/>
      <c r="H315" s="60"/>
    </row>
    <row r="316" spans="6:8" ht="13.8">
      <c r="F316" s="81"/>
      <c r="G316" s="6"/>
      <c r="H316" s="60"/>
    </row>
    <row r="317" spans="6:8" ht="13.8">
      <c r="F317" s="81"/>
      <c r="G317" s="6"/>
      <c r="H317" s="60"/>
    </row>
    <row r="318" spans="6:8" ht="13.8">
      <c r="F318" s="81"/>
      <c r="G318" s="6"/>
      <c r="H318" s="60"/>
    </row>
    <row r="319" spans="6:8" ht="13.8">
      <c r="F319" s="81"/>
      <c r="G319" s="6"/>
      <c r="H319" s="60"/>
    </row>
    <row r="320" spans="6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  <row r="455" spans="6:8" ht="13.2"/>
    <row r="456" spans="6:8" ht="13.2"/>
    <row r="457" spans="6:8" ht="13.2"/>
    <row r="458" spans="6:8" ht="13.2"/>
    <row r="459" spans="6:8" ht="13.2"/>
    <row r="460" spans="6:8" ht="13.2"/>
    <row r="461" spans="6:8" ht="13.2"/>
    <row r="462" spans="6:8" ht="13.2"/>
    <row r="463" spans="6:8" ht="13.2"/>
    <row r="464" spans="6:8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</sheetData>
  <autoFilter ref="A4:G248" xr:uid="{00000000-0009-0000-0000-000002000000}"/>
  <mergeCells count="12">
    <mergeCell ref="B2:H5"/>
    <mergeCell ref="B7:D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95C4B6F7-095C-4CD9-BABC-6F0C69F8EBFF}">
          <x14:formula1>
            <xm:f>Categorias!$A:$A</xm:f>
          </x14:formula1>
          <xm:sqref>D13:D254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3DAD6-4209-4D76-8CBE-2F6802FA675F}">
  <dimension ref="A1:H997"/>
  <sheetViews>
    <sheetView showGridLines="0" topLeftCell="A4" workbookViewId="0">
      <selection activeCell="G7" sqref="G7:H7"/>
    </sheetView>
  </sheetViews>
  <sheetFormatPr defaultColWidth="12.6640625" defaultRowHeight="15" customHeight="1"/>
  <cols>
    <col min="1" max="1" width="5.33203125" style="77" customWidth="1"/>
    <col min="2" max="2" width="13" style="76" bestFit="1" customWidth="1"/>
    <col min="3" max="3" width="33.33203125" style="7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8" s="8" customFormat="1" ht="4.5" customHeight="1">
      <c r="B1" s="76"/>
      <c r="C1" s="83"/>
      <c r="F1" s="85"/>
      <c r="G1" s="63"/>
    </row>
    <row r="2" spans="1:8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8" ht="12.75" customHeight="1">
      <c r="B3" s="137"/>
      <c r="C3" s="138"/>
      <c r="D3" s="138"/>
      <c r="E3" s="138"/>
      <c r="F3" s="138"/>
      <c r="G3" s="138"/>
      <c r="H3" s="138"/>
    </row>
    <row r="4" spans="1:8" ht="12.75" customHeight="1">
      <c r="B4" s="137"/>
      <c r="C4" s="138"/>
      <c r="D4" s="138"/>
      <c r="E4" s="138"/>
      <c r="F4" s="138"/>
      <c r="G4" s="138"/>
      <c r="H4" s="138"/>
    </row>
    <row r="5" spans="1:8" ht="12.75" customHeight="1">
      <c r="B5" s="139"/>
      <c r="C5" s="140"/>
      <c r="D5" s="140"/>
      <c r="E5" s="140"/>
      <c r="F5" s="140"/>
      <c r="G5" s="140"/>
      <c r="H5" s="140"/>
    </row>
    <row r="6" spans="1:8" s="8" customFormat="1" ht="3.75" customHeight="1">
      <c r="B6" s="76"/>
      <c r="C6" s="83"/>
      <c r="F6" s="85"/>
      <c r="G6" s="63"/>
    </row>
    <row r="7" spans="1:8" ht="21">
      <c r="A7" s="61"/>
      <c r="B7" s="149" t="s">
        <v>95</v>
      </c>
      <c r="C7" s="150"/>
      <c r="D7" s="150"/>
      <c r="E7" s="71"/>
      <c r="F7" s="71"/>
      <c r="G7" s="135">
        <f>D8+D9+D10+G8+G9+G10</f>
        <v>0</v>
      </c>
      <c r="H7" s="136"/>
    </row>
    <row r="8" spans="1:8" ht="15.6">
      <c r="A8" s="61"/>
      <c r="B8" s="148" t="s">
        <v>90</v>
      </c>
      <c r="C8" s="148"/>
      <c r="D8" s="65"/>
      <c r="E8" s="147" t="s">
        <v>93</v>
      </c>
      <c r="F8" s="148"/>
      <c r="G8" s="141"/>
      <c r="H8" s="142"/>
    </row>
    <row r="9" spans="1:8" ht="15.6">
      <c r="A9" s="61"/>
      <c r="B9" s="146" t="s">
        <v>91</v>
      </c>
      <c r="C9" s="146"/>
      <c r="D9" s="64"/>
      <c r="E9" s="145" t="s">
        <v>94</v>
      </c>
      <c r="F9" s="146"/>
      <c r="G9" s="143"/>
      <c r="H9" s="144"/>
    </row>
    <row r="10" spans="1:8" s="8" customFormat="1" ht="15.6">
      <c r="A10" s="61"/>
      <c r="B10" s="148" t="s">
        <v>92</v>
      </c>
      <c r="C10" s="148"/>
      <c r="D10" s="65"/>
      <c r="E10" s="145" t="s">
        <v>96</v>
      </c>
      <c r="F10" s="146"/>
      <c r="G10" s="141"/>
      <c r="H10" s="142"/>
    </row>
    <row r="11" spans="1:8" s="8" customFormat="1" ht="4.5" customHeight="1">
      <c r="B11" s="76"/>
      <c r="C11" s="83"/>
      <c r="F11" s="84"/>
      <c r="G11" s="84"/>
    </row>
    <row r="12" spans="1:8" ht="18">
      <c r="B12" s="67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8" ht="13.8">
      <c r="B13" s="74">
        <v>46237</v>
      </c>
      <c r="C13" s="68" t="inlineStr">
        <is>
          <t xml:space="preserve">Paulo Galvao Almeida</t>
        </is>
      </c>
      <c r="D13" s="1"/>
      <c r="E13" s="62" t="str">
        <f>IF(ISERROR(VLOOKUP(D13,Categorias!A:B,2,0)),"",VLOOKUP(D13,Categorias!A:B,2,0))</f>
        <v/>
      </c>
      <c r="F13" s="80">
        <v>500.00</v>
      </c>
      <c r="G13" s="5"/>
      <c r="H13" s="78">
        <f>G7+F13-G13</f>
        <v>0</v>
      </c>
    </row>
    <row r="14" spans="1:8" ht="9.75" customHeight="1">
      <c r="B14" s="74">
        <v>46237</v>
      </c>
      <c r="C14" s="68" t="inlineStr">
        <is>
          <t xml:space="preserve">Camila Ramos Gomes Caldeira</t>
        </is>
      </c>
      <c r="D14" s="1"/>
      <c r="E14" s="1" t="str">
        <f>IF(ISERROR(VLOOKUP(D14,Categorias!A:B,2,0)),"",VLOOKUP(D14,Categorias!A:B,2,0))</f>
        <v/>
      </c>
      <c r="F14" s="80">
        <v>89.90</v>
      </c>
      <c r="G14" s="5"/>
      <c r="H14" s="79">
        <f t="shared" ref="H14:H77" si="0">H13+F14-G14</f>
        <v>0</v>
      </c>
    </row>
    <row r="15" spans="1:8" ht="13.8">
      <c r="B15" s="74"/>
      <c r="C15" s="68"/>
      <c r="D15" s="1"/>
      <c r="E15" s="1" t="str">
        <f>IF(ISERROR(VLOOKUP(D15,Categorias!A:B,2,0)),"",VLOOKUP(D15,Categorias!A:B,2,0))</f>
        <v/>
      </c>
      <c r="F15" s="80"/>
      <c r="G15" s="5"/>
      <c r="H15" s="79">
        <f t="shared" si="0"/>
        <v>0</v>
      </c>
    </row>
    <row r="16" spans="1:8" ht="13.8">
      <c r="B16" s="74"/>
      <c r="C16" s="68"/>
      <c r="D16" s="1"/>
      <c r="E16" s="1" t="str">
        <f>IF(ISERROR(VLOOKUP(D16,Categorias!A:B,2,0)),"",VLOOKUP(D16,Categorias!A:B,2,0))</f>
        <v/>
      </c>
      <c r="F16" s="80"/>
      <c r="G16" s="5"/>
      <c r="H16" s="79">
        <f t="shared" si="0"/>
        <v>0</v>
      </c>
    </row>
    <row r="17" spans="2:8" ht="13.8">
      <c r="B17" s="74"/>
      <c r="C17" s="68"/>
      <c r="D17" s="1"/>
      <c r="E17" s="1" t="str">
        <f>IF(ISERROR(VLOOKUP(D17,Categorias!A:B,2,0)),"",VLOOKUP(D17,Categorias!A:B,2,0))</f>
        <v/>
      </c>
      <c r="F17" s="80"/>
      <c r="G17" s="5"/>
      <c r="H17" s="79">
        <f t="shared" si="0"/>
        <v>0</v>
      </c>
    </row>
    <row r="18" spans="2:8" ht="13.8">
      <c r="B18" s="74"/>
      <c r="C18" s="68"/>
      <c r="D18" s="1"/>
      <c r="E18" s="1" t="str">
        <f>IF(ISERROR(VLOOKUP(D18,Categorias!A:B,2,0)),"",VLOOKUP(D18,Categorias!A:B,2,0))</f>
        <v/>
      </c>
      <c r="F18" s="80"/>
      <c r="G18" s="5"/>
      <c r="H18" s="79">
        <f t="shared" si="0"/>
        <v>0</v>
      </c>
    </row>
    <row r="19" spans="2:8" ht="13.8">
      <c r="B19" s="74"/>
      <c r="C19" s="68"/>
      <c r="D19" s="1"/>
      <c r="E19" s="1" t="str">
        <f>IF(ISERROR(VLOOKUP(D19,Categorias!A:B,2,0)),"",VLOOKUP(D19,Categorias!A:B,2,0))</f>
        <v/>
      </c>
      <c r="F19" s="80"/>
      <c r="G19" s="5"/>
      <c r="H19" s="79">
        <f t="shared" si="0"/>
        <v>0</v>
      </c>
    </row>
    <row r="20" spans="2:8" ht="13.8">
      <c r="B20" s="74"/>
      <c r="C20" s="68"/>
      <c r="D20" s="1"/>
      <c r="E20" s="1" t="str">
        <f>IF(ISERROR(VLOOKUP(D20,Categorias!A:B,2,0)),"",VLOOKUP(D20,Categorias!A:B,2,0))</f>
        <v/>
      </c>
      <c r="F20" s="80"/>
      <c r="G20" s="5"/>
      <c r="H20" s="79">
        <f t="shared" si="0"/>
        <v>0</v>
      </c>
    </row>
    <row r="21" spans="2:8" ht="13.8">
      <c r="B21" s="74"/>
      <c r="C21" s="68"/>
      <c r="D21" s="1"/>
      <c r="E21" s="1" t="str">
        <f>IF(ISERROR(VLOOKUP(D21,Categorias!A:B,2,0)),"",VLOOKUP(D21,Categorias!A:B,2,0))</f>
        <v/>
      </c>
      <c r="F21" s="80"/>
      <c r="G21" s="5"/>
      <c r="H21" s="79">
        <f t="shared" si="0"/>
        <v>0</v>
      </c>
    </row>
    <row r="22" spans="2:8" ht="13.8">
      <c r="B22" s="74"/>
      <c r="C22" s="68"/>
      <c r="D22" s="1"/>
      <c r="E22" s="1" t="str">
        <f>IF(ISERROR(VLOOKUP(D22,Categorias!A:B,2,0)),"",VLOOKUP(D22,Categorias!A:B,2,0))</f>
        <v/>
      </c>
      <c r="F22" s="80"/>
      <c r="G22" s="5"/>
      <c r="H22" s="79">
        <f t="shared" si="0"/>
        <v>0</v>
      </c>
    </row>
    <row r="23" spans="2:8" ht="13.8">
      <c r="B23" s="74"/>
      <c r="C23" s="68"/>
      <c r="D23" s="1"/>
      <c r="E23" s="1" t="str">
        <f>IF(ISERROR(VLOOKUP(D23,Categorias!A:B,2,0)),"",VLOOKUP(D23,Categorias!A:B,2,0))</f>
        <v/>
      </c>
      <c r="F23" s="80"/>
      <c r="G23" s="5"/>
      <c r="H23" s="79">
        <f t="shared" si="0"/>
        <v>0</v>
      </c>
    </row>
    <row r="24" spans="2:8" ht="13.8">
      <c r="B24" s="74"/>
      <c r="C24" s="68"/>
      <c r="D24" s="1"/>
      <c r="E24" s="1" t="str">
        <f>IF(ISERROR(VLOOKUP(D24,Categorias!A:B,2,0)),"",VLOOKUP(D24,Categorias!A:B,2,0))</f>
        <v/>
      </c>
      <c r="F24" s="80"/>
      <c r="G24" s="5"/>
      <c r="H24" s="79">
        <f t="shared" si="0"/>
        <v>0</v>
      </c>
    </row>
    <row r="25" spans="2:8" ht="13.8">
      <c r="B25" s="74"/>
      <c r="C25" s="68"/>
      <c r="D25" s="1"/>
      <c r="E25" s="1" t="str">
        <f>IF(ISERROR(VLOOKUP(D25,Categorias!A:B,2,0)),"",VLOOKUP(D25,Categorias!A:B,2,0))</f>
        <v/>
      </c>
      <c r="F25" s="80"/>
      <c r="G25" s="5"/>
      <c r="H25" s="79">
        <f t="shared" si="0"/>
        <v>0</v>
      </c>
    </row>
    <row r="26" spans="2:8" ht="13.8">
      <c r="B26" s="74"/>
      <c r="C26" s="68"/>
      <c r="D26" s="1"/>
      <c r="E26" s="1" t="str">
        <f>IF(ISERROR(VLOOKUP(D26,Categorias!A:B,2,0)),"",VLOOKUP(D26,Categorias!A:B,2,0))</f>
        <v/>
      </c>
      <c r="F26" s="80"/>
      <c r="G26" s="5"/>
      <c r="H26" s="79">
        <f t="shared" si="0"/>
        <v>0</v>
      </c>
    </row>
    <row r="27" spans="2:8" ht="13.8">
      <c r="B27" s="74"/>
      <c r="C27" s="68"/>
      <c r="D27" s="1"/>
      <c r="E27" s="1" t="str">
        <f>IF(ISERROR(VLOOKUP(D27,Categorias!A:B,2,0)),"",VLOOKUP(D27,Categorias!A:B,2,0))</f>
        <v/>
      </c>
      <c r="F27" s="80"/>
      <c r="G27" s="5"/>
      <c r="H27" s="79">
        <f t="shared" si="0"/>
        <v>0</v>
      </c>
    </row>
    <row r="28" spans="2:8" ht="13.8">
      <c r="B28" s="74"/>
      <c r="C28" s="68"/>
      <c r="D28" s="1"/>
      <c r="E28" s="1" t="str">
        <f>IF(ISERROR(VLOOKUP(D28,Categorias!A:B,2,0)),"",VLOOKUP(D28,Categorias!A:B,2,0))</f>
        <v/>
      </c>
      <c r="F28" s="80"/>
      <c r="G28" s="5"/>
      <c r="H28" s="79">
        <f t="shared" si="0"/>
        <v>0</v>
      </c>
    </row>
    <row r="29" spans="2:8" ht="13.8">
      <c r="B29" s="74"/>
      <c r="C29" s="68"/>
      <c r="D29" s="1"/>
      <c r="E29" s="1" t="str">
        <f>IF(ISERROR(VLOOKUP(D29,Categorias!A:B,2,0)),"",VLOOKUP(D29,Categorias!A:B,2,0))</f>
        <v/>
      </c>
      <c r="F29" s="80"/>
      <c r="G29" s="5"/>
      <c r="H29" s="79">
        <f t="shared" si="0"/>
        <v>0</v>
      </c>
    </row>
    <row r="30" spans="2:8" ht="13.8">
      <c r="B30" s="75"/>
      <c r="C30" s="68"/>
      <c r="D30" s="1"/>
      <c r="E30" s="1" t="str">
        <f>IF(ISERROR(VLOOKUP(D30,Categorias!A:B,2,0)),"",VLOOKUP(D30,Categorias!A:B,2,0))</f>
        <v/>
      </c>
      <c r="F30" s="80"/>
      <c r="G30" s="5"/>
      <c r="H30" s="79">
        <f t="shared" si="0"/>
        <v>0</v>
      </c>
    </row>
    <row r="31" spans="2:8" ht="13.8">
      <c r="B31" s="75"/>
      <c r="C31" s="68"/>
      <c r="D31" s="1"/>
      <c r="E31" s="1" t="str">
        <f>IF(ISERROR(VLOOKUP(D31,Categorias!A:B,2,0)),"",VLOOKUP(D31,Categorias!A:B,2,0))</f>
        <v/>
      </c>
      <c r="F31" s="80"/>
      <c r="G31" s="5"/>
      <c r="H31" s="73">
        <f t="shared" si="0"/>
        <v>0</v>
      </c>
    </row>
    <row r="32" spans="2:8" ht="13.8">
      <c r="B32" s="75"/>
      <c r="C32" s="70"/>
      <c r="D32" s="1"/>
      <c r="E32" s="1" t="str">
        <f>IF(ISERROR(VLOOKUP(D32,Categorias!A:B,2,0)),"",VLOOKUP(D32,Categorias!A:B,2,0))</f>
        <v/>
      </c>
      <c r="F32" s="80"/>
      <c r="G32" s="5"/>
      <c r="H32" s="73">
        <f t="shared" si="0"/>
        <v>0</v>
      </c>
    </row>
    <row r="33" spans="2:8" ht="13.8">
      <c r="B33" s="75"/>
      <c r="C33" s="70"/>
      <c r="D33" s="1"/>
      <c r="E33" s="1" t="str">
        <f>IF(ISERROR(VLOOKUP(D33,Categorias!A:B,2,0)),"",VLOOKUP(D33,Categorias!A:B,2,0))</f>
        <v/>
      </c>
      <c r="F33" s="80"/>
      <c r="G33" s="5"/>
      <c r="H33" s="73">
        <f t="shared" si="0"/>
        <v>0</v>
      </c>
    </row>
    <row r="34" spans="2:8" ht="13.8">
      <c r="B34" s="75"/>
      <c r="C34" s="70"/>
      <c r="D34" s="1"/>
      <c r="E34" s="1" t="str">
        <f>IF(ISERROR(VLOOKUP(D34,Categorias!A:B,2,0)),"",VLOOKUP(D34,Categorias!A:B,2,0))</f>
        <v/>
      </c>
      <c r="F34" s="80"/>
      <c r="G34" s="5"/>
      <c r="H34" s="73">
        <f t="shared" si="0"/>
        <v>0</v>
      </c>
    </row>
    <row r="35" spans="2:8" ht="13.8">
      <c r="B35" s="75"/>
      <c r="C35" s="70"/>
      <c r="D35" s="1"/>
      <c r="E35" s="1" t="str">
        <f>IF(ISERROR(VLOOKUP(D35,Categorias!A:B,2,0)),"",VLOOKUP(D35,Categorias!A:B,2,0))</f>
        <v/>
      </c>
      <c r="F35" s="80"/>
      <c r="G35" s="5"/>
      <c r="H35" s="73">
        <f t="shared" si="0"/>
        <v>0</v>
      </c>
    </row>
    <row r="36" spans="2:8" ht="13.8">
      <c r="B36" s="75"/>
      <c r="C36" s="70"/>
      <c r="D36" s="1"/>
      <c r="E36" s="1" t="str">
        <f>IF(ISERROR(VLOOKUP(D36,Categorias!A:B,2,0)),"",VLOOKUP(D36,Categorias!A:B,2,0))</f>
        <v/>
      </c>
      <c r="F36" s="80"/>
      <c r="G36" s="5"/>
      <c r="H36" s="73">
        <f t="shared" si="0"/>
        <v>0</v>
      </c>
    </row>
    <row r="37" spans="2:8" ht="13.8">
      <c r="B37" s="75"/>
      <c r="C37" s="70"/>
      <c r="D37" s="1"/>
      <c r="E37" s="1" t="str">
        <f>IF(ISERROR(VLOOKUP(D37,Categorias!A:B,2,0)),"",VLOOKUP(D37,Categorias!A:B,2,0))</f>
        <v/>
      </c>
      <c r="F37" s="80"/>
      <c r="G37" s="5"/>
      <c r="H37" s="73">
        <f t="shared" si="0"/>
        <v>0</v>
      </c>
    </row>
    <row r="38" spans="2:8" ht="13.8">
      <c r="B38" s="75"/>
      <c r="C38" s="69"/>
      <c r="D38" s="1"/>
      <c r="E38" s="1" t="str">
        <f>IF(ISERROR(VLOOKUP(D38,Categorias!A:B,2,0)),"",VLOOKUP(D38,Categorias!A:B,2,0))</f>
        <v/>
      </c>
      <c r="F38" s="80"/>
      <c r="G38" s="5"/>
      <c r="H38" s="73">
        <f t="shared" si="0"/>
        <v>0</v>
      </c>
    </row>
    <row r="39" spans="2:8" ht="13.8">
      <c r="B39" s="75"/>
      <c r="C39" s="70"/>
      <c r="D39" s="1"/>
      <c r="E39" s="1" t="str">
        <f>IF(ISERROR(VLOOKUP(D39,Categorias!A:B,2,0)),"",VLOOKUP(D39,Categorias!A:B,2,0))</f>
        <v/>
      </c>
      <c r="F39" s="80"/>
      <c r="G39" s="5"/>
      <c r="H39" s="73">
        <f t="shared" si="0"/>
        <v>0</v>
      </c>
    </row>
    <row r="40" spans="2:8" ht="13.8">
      <c r="B40" s="75"/>
      <c r="C40" s="70"/>
      <c r="D40" s="1"/>
      <c r="E40" s="1" t="str">
        <f>IF(ISERROR(VLOOKUP(D40,Categorias!A:B,2,0)),"",VLOOKUP(D40,Categorias!A:B,2,0))</f>
        <v/>
      </c>
      <c r="F40" s="80"/>
      <c r="G40" s="5"/>
      <c r="H40" s="73">
        <f t="shared" si="0"/>
        <v>0</v>
      </c>
    </row>
    <row r="41" spans="2:8" ht="13.8">
      <c r="B41" s="75"/>
      <c r="C41" s="70"/>
      <c r="D41" s="1"/>
      <c r="E41" s="1" t="str">
        <f>IF(ISERROR(VLOOKUP(D41,Categorias!A:B,2,0)),"",VLOOKUP(D41,Categorias!A:B,2,0))</f>
        <v/>
      </c>
      <c r="F41" s="80"/>
      <c r="G41" s="5"/>
      <c r="H41" s="73">
        <f t="shared" si="0"/>
        <v>0</v>
      </c>
    </row>
    <row r="42" spans="2:8" ht="13.8">
      <c r="B42" s="75"/>
      <c r="C42" s="70"/>
      <c r="D42" s="1"/>
      <c r="E42" s="1" t="str">
        <f>IF(ISERROR(VLOOKUP(D42,Categorias!A:B,2,0)),"",VLOOKUP(D42,Categorias!A:B,2,0))</f>
        <v/>
      </c>
      <c r="F42" s="80"/>
      <c r="G42" s="5"/>
      <c r="H42" s="73">
        <f t="shared" si="0"/>
        <v>0</v>
      </c>
    </row>
    <row r="43" spans="2:8" ht="13.8">
      <c r="B43" s="75"/>
      <c r="C43" s="70"/>
      <c r="D43" s="1"/>
      <c r="E43" s="1" t="str">
        <f>IF(ISERROR(VLOOKUP(D43,Categorias!A:B,2,0)),"",VLOOKUP(D43,Categorias!A:B,2,0))</f>
        <v/>
      </c>
      <c r="F43" s="80"/>
      <c r="G43" s="5"/>
      <c r="H43" s="73">
        <f t="shared" si="0"/>
        <v>0</v>
      </c>
    </row>
    <row r="44" spans="2:8" ht="13.8">
      <c r="B44" s="75"/>
      <c r="D44" s="1"/>
      <c r="E44" s="1"/>
      <c r="F44" s="80"/>
      <c r="G44" s="5"/>
      <c r="H44" s="73">
        <f t="shared" si="0"/>
        <v>0</v>
      </c>
    </row>
    <row r="45" spans="2:8" ht="13.8">
      <c r="B45" s="75"/>
      <c r="D45" s="1"/>
      <c r="E45" s="1" t="str">
        <f>IF(ISERROR(VLOOKUP(D45,Categorias!A:B,2,0)),"",VLOOKUP(D45,Categorias!A:B,2,0))</f>
        <v/>
      </c>
      <c r="F45" s="80"/>
      <c r="G45" s="5"/>
      <c r="H45" s="73">
        <f t="shared" si="0"/>
        <v>0</v>
      </c>
    </row>
    <row r="46" spans="2:8" ht="13.8">
      <c r="B46" s="75"/>
      <c r="D46" s="1"/>
      <c r="E46" s="1" t="str">
        <f>IF(ISERROR(VLOOKUP(D46,Categorias!A:B,2,0)),"",VLOOKUP(D46,Categorias!A:B,2,0))</f>
        <v/>
      </c>
      <c r="F46" s="80"/>
      <c r="G46" s="5"/>
      <c r="H46" s="73">
        <f t="shared" si="0"/>
        <v>0</v>
      </c>
    </row>
    <row r="47" spans="2:8" ht="13.8">
      <c r="B47" s="75"/>
      <c r="D47" s="1"/>
      <c r="E47" s="1" t="str">
        <f>IF(ISERROR(VLOOKUP(D47,Categorias!A:B,2,0)),"",VLOOKUP(D47,Categorias!A:B,2,0))</f>
        <v/>
      </c>
      <c r="F47" s="80"/>
      <c r="G47" s="5"/>
      <c r="H47" s="73">
        <f t="shared" si="0"/>
        <v>0</v>
      </c>
    </row>
    <row r="48" spans="2:8" ht="13.8">
      <c r="B48" s="75"/>
      <c r="D48" s="1"/>
      <c r="E48" s="1" t="str">
        <f>IF(ISERROR(VLOOKUP(D48,Categorias!A:B,2,0)),"",VLOOKUP(D48,Categorias!A:B,2,0))</f>
        <v/>
      </c>
      <c r="F48" s="80"/>
      <c r="G48" s="5"/>
      <c r="H48" s="73">
        <f t="shared" si="0"/>
        <v>0</v>
      </c>
    </row>
    <row r="49" spans="2:8" ht="13.8">
      <c r="B49" s="75"/>
      <c r="D49" s="1"/>
      <c r="E49" s="1" t="str">
        <f>IF(ISERROR(VLOOKUP(D49,Categorias!A:B,2,0)),"",VLOOKUP(D49,Categorias!A:B,2,0))</f>
        <v/>
      </c>
      <c r="F49" s="80"/>
      <c r="G49" s="5"/>
      <c r="H49" s="73">
        <f t="shared" si="0"/>
        <v>0</v>
      </c>
    </row>
    <row r="50" spans="2:8" ht="13.8">
      <c r="B50" s="75"/>
      <c r="D50" s="1"/>
      <c r="E50" s="1" t="str">
        <f>IF(ISERROR(VLOOKUP(D50,Categorias!A:B,2,0)),"",VLOOKUP(D50,Categorias!A:B,2,0))</f>
        <v/>
      </c>
      <c r="F50" s="80"/>
      <c r="G50" s="5"/>
      <c r="H50" s="73">
        <f t="shared" si="0"/>
        <v>0</v>
      </c>
    </row>
    <row r="51" spans="2:8" ht="13.8">
      <c r="B51" s="75"/>
      <c r="D51" s="1"/>
      <c r="E51" s="1" t="str">
        <f>IF(ISERROR(VLOOKUP(D51,Categorias!A:B,2,0)),"",VLOOKUP(D51,Categorias!A:B,2,0))</f>
        <v/>
      </c>
      <c r="F51" s="80"/>
      <c r="G51" s="5"/>
      <c r="H51" s="73">
        <f t="shared" si="0"/>
        <v>0</v>
      </c>
    </row>
    <row r="52" spans="2:8" ht="13.8">
      <c r="B52" s="75"/>
      <c r="D52" s="1"/>
      <c r="E52" s="1" t="str">
        <f>IF(ISERROR(VLOOKUP(D52,Categorias!A:B,2,0)),"",VLOOKUP(D52,Categorias!A:B,2,0))</f>
        <v/>
      </c>
      <c r="F52" s="80"/>
      <c r="G52" s="5"/>
      <c r="H52" s="73">
        <f t="shared" si="0"/>
        <v>0</v>
      </c>
    </row>
    <row r="53" spans="2:8" ht="13.8">
      <c r="B53" s="75"/>
      <c r="D53" s="1"/>
      <c r="E53" s="1" t="str">
        <f>IF(ISERROR(VLOOKUP(D53,Categorias!A:B,2,0)),"",VLOOKUP(D53,Categorias!A:B,2,0))</f>
        <v/>
      </c>
      <c r="F53" s="80"/>
      <c r="G53" s="5"/>
      <c r="H53" s="73">
        <f t="shared" si="0"/>
        <v>0</v>
      </c>
    </row>
    <row r="54" spans="2:8" ht="13.8">
      <c r="B54" s="75"/>
      <c r="D54" s="1"/>
      <c r="E54" s="1" t="str">
        <f>IF(ISERROR(VLOOKUP(D54,Categorias!A:B,2,0)),"",VLOOKUP(D54,Categorias!A:B,2,0))</f>
        <v/>
      </c>
      <c r="F54" s="80"/>
      <c r="G54" s="5"/>
      <c r="H54" s="73">
        <f t="shared" si="0"/>
        <v>0</v>
      </c>
    </row>
    <row r="55" spans="2:8" ht="13.8">
      <c r="B55" s="75"/>
      <c r="D55" s="1"/>
      <c r="E55" s="1" t="str">
        <f>IF(ISERROR(VLOOKUP(D55,Categorias!A:B,2,0)),"",VLOOKUP(D55,Categorias!A:B,2,0))</f>
        <v/>
      </c>
      <c r="F55" s="80"/>
      <c r="G55" s="5"/>
      <c r="H55" s="73">
        <f t="shared" si="0"/>
        <v>0</v>
      </c>
    </row>
    <row r="56" spans="2:8" ht="13.8">
      <c r="B56" s="75"/>
      <c r="D56" s="1"/>
      <c r="E56" s="1" t="str">
        <f>IF(ISERROR(VLOOKUP(D56,Categorias!A:B,2,0)),"",VLOOKUP(D56,Categorias!A:B,2,0))</f>
        <v/>
      </c>
      <c r="F56" s="80"/>
      <c r="G56" s="5"/>
      <c r="H56" s="73">
        <f t="shared" si="0"/>
        <v>0</v>
      </c>
    </row>
    <row r="57" spans="2:8" ht="13.8">
      <c r="B57" s="75"/>
      <c r="D57" s="1"/>
      <c r="E57" s="1" t="str">
        <f>IF(ISERROR(VLOOKUP(D57,Categorias!A:B,2,0)),"",VLOOKUP(D57,Categorias!A:B,2,0))</f>
        <v/>
      </c>
      <c r="F57" s="80"/>
      <c r="G57" s="5"/>
      <c r="H57" s="73">
        <f t="shared" si="0"/>
        <v>0</v>
      </c>
    </row>
    <row r="58" spans="2:8" ht="13.8">
      <c r="D58" s="1"/>
      <c r="E58" s="1" t="str">
        <f>IF(ISERROR(VLOOKUP(D58,Categorias!A:B,2,0)),"",VLOOKUP(D58,Categorias!A:B,2,0))</f>
        <v/>
      </c>
      <c r="F58" s="80"/>
      <c r="G58" s="5"/>
      <c r="H58" s="73">
        <f t="shared" si="0"/>
        <v>0</v>
      </c>
    </row>
    <row r="59" spans="2:8" ht="13.8">
      <c r="D59" s="1"/>
      <c r="E59" s="1" t="str">
        <f>IF(ISERROR(VLOOKUP(D59,Categorias!A:B,2,0)),"",VLOOKUP(D59,Categorias!A:B,2,0))</f>
        <v/>
      </c>
      <c r="F59" s="80"/>
      <c r="G59" s="5"/>
      <c r="H59" s="73">
        <f t="shared" si="0"/>
        <v>0</v>
      </c>
    </row>
    <row r="60" spans="2:8" ht="13.8">
      <c r="D60" s="1"/>
      <c r="E60" s="1" t="str">
        <f>IF(ISERROR(VLOOKUP(D60,Categorias!A:B,2,0)),"",VLOOKUP(D60,Categorias!A:B,2,0))</f>
        <v/>
      </c>
      <c r="F60" s="80"/>
      <c r="G60" s="5"/>
      <c r="H60" s="73">
        <f t="shared" si="0"/>
        <v>0</v>
      </c>
    </row>
    <row r="61" spans="2:8" ht="13.8">
      <c r="D61" s="1"/>
      <c r="E61" s="1" t="str">
        <f>IF(ISERROR(VLOOKUP(D61,Categorias!A:B,2,0)),"",VLOOKUP(D61,Categorias!A:B,2,0))</f>
        <v/>
      </c>
      <c r="F61" s="80"/>
      <c r="G61" s="5"/>
      <c r="H61" s="73">
        <f t="shared" si="0"/>
        <v>0</v>
      </c>
    </row>
    <row r="62" spans="2:8" ht="13.8">
      <c r="D62" s="1"/>
      <c r="E62" s="1" t="str">
        <f>IF(ISERROR(VLOOKUP(D62,Categorias!A:B,2,0)),"",VLOOKUP(D62,Categorias!A:B,2,0))</f>
        <v/>
      </c>
      <c r="F62" s="80"/>
      <c r="G62" s="5"/>
      <c r="H62" s="73">
        <f t="shared" si="0"/>
        <v>0</v>
      </c>
    </row>
    <row r="63" spans="2:8" ht="13.8">
      <c r="D63" s="1"/>
      <c r="E63" s="1" t="str">
        <f>IF(ISERROR(VLOOKUP(D63,Categorias!A:B,2,0)),"",VLOOKUP(D63,Categorias!A:B,2,0))</f>
        <v/>
      </c>
      <c r="F63" s="80"/>
      <c r="G63" s="5"/>
      <c r="H63" s="73">
        <f t="shared" si="0"/>
        <v>0</v>
      </c>
    </row>
    <row r="64" spans="2:8" ht="13.8">
      <c r="D64" s="1"/>
      <c r="E64" s="1" t="str">
        <f>IF(ISERROR(VLOOKUP(D64,Categorias!A:B,2,0)),"",VLOOKUP(D64,Categorias!A:B,2,0))</f>
        <v/>
      </c>
      <c r="F64" s="80"/>
      <c r="G64" s="5"/>
      <c r="H64" s="73">
        <f t="shared" si="0"/>
        <v>0</v>
      </c>
    </row>
    <row r="65" spans="4:8" ht="13.8">
      <c r="D65" s="1"/>
      <c r="E65" s="1" t="str">
        <f>IF(ISERROR(VLOOKUP(D65,Categorias!A:B,2,0)),"",VLOOKUP(D65,Categorias!A:B,2,0))</f>
        <v/>
      </c>
      <c r="F65" s="80"/>
      <c r="G65" s="5"/>
      <c r="H65" s="73">
        <f t="shared" si="0"/>
        <v>0</v>
      </c>
    </row>
    <row r="66" spans="4:8" ht="13.8">
      <c r="D66" s="1"/>
      <c r="E66" s="1" t="str">
        <f>IF(ISERROR(VLOOKUP(D66,Categorias!A:B,2,0)),"",VLOOKUP(D66,Categorias!A:B,2,0))</f>
        <v/>
      </c>
      <c r="F66" s="80"/>
      <c r="G66" s="5"/>
      <c r="H66" s="73">
        <f t="shared" si="0"/>
        <v>0</v>
      </c>
    </row>
    <row r="67" spans="4:8" ht="13.8">
      <c r="D67" s="1"/>
      <c r="E67" s="1" t="str">
        <f>IF(ISERROR(VLOOKUP(D67,Categorias!A:B,2,0)),"",VLOOKUP(D67,Categorias!A:B,2,0))</f>
        <v/>
      </c>
      <c r="F67" s="80"/>
      <c r="G67" s="5"/>
      <c r="H67" s="73">
        <f t="shared" si="0"/>
        <v>0</v>
      </c>
    </row>
    <row r="68" spans="4:8" ht="13.8">
      <c r="D68" s="1"/>
      <c r="E68" s="1" t="str">
        <f>IF(ISERROR(VLOOKUP(D68,Categorias!A:B,2,0)),"",VLOOKUP(D68,Categorias!A:B,2,0))</f>
        <v/>
      </c>
      <c r="F68" s="80"/>
      <c r="G68" s="5"/>
      <c r="H68" s="73">
        <f t="shared" si="0"/>
        <v>0</v>
      </c>
    </row>
    <row r="69" spans="4:8" ht="13.8">
      <c r="D69" s="1"/>
      <c r="E69" s="1" t="str">
        <f>IF(ISERROR(VLOOKUP(D69,Categorias!A:B,2,0)),"",VLOOKUP(D69,Categorias!A:B,2,0))</f>
        <v/>
      </c>
      <c r="F69" s="80"/>
      <c r="G69" s="5"/>
      <c r="H69" s="73">
        <f t="shared" si="0"/>
        <v>0</v>
      </c>
    </row>
    <row r="70" spans="4:8" ht="13.8">
      <c r="D70" s="1"/>
      <c r="E70" s="1" t="str">
        <f>IF(ISERROR(VLOOKUP(D70,Categorias!A:B,2,0)),"",VLOOKUP(D70,Categorias!A:B,2,0))</f>
        <v/>
      </c>
      <c r="F70" s="80"/>
      <c r="G70" s="5"/>
      <c r="H70" s="73">
        <f t="shared" si="0"/>
        <v>0</v>
      </c>
    </row>
    <row r="71" spans="4:8" ht="13.8">
      <c r="D71" s="1"/>
      <c r="E71" s="1" t="str">
        <f>IF(ISERROR(VLOOKUP(D71,Categorias!A:B,2,0)),"",VLOOKUP(D71,Categorias!A:B,2,0))</f>
        <v/>
      </c>
      <c r="F71" s="80"/>
      <c r="G71" s="5"/>
      <c r="H71" s="73">
        <f t="shared" si="0"/>
        <v>0</v>
      </c>
    </row>
    <row r="72" spans="4:8" ht="13.8">
      <c r="D72" s="1"/>
      <c r="E72" s="1" t="str">
        <f>IF(ISERROR(VLOOKUP(D72,Categorias!A:B,2,0)),"",VLOOKUP(D72,Categorias!A:B,2,0))</f>
        <v/>
      </c>
      <c r="F72" s="80"/>
      <c r="G72" s="5"/>
      <c r="H72" s="73">
        <f t="shared" si="0"/>
        <v>0</v>
      </c>
    </row>
    <row r="73" spans="4:8" ht="13.8">
      <c r="D73" s="1"/>
      <c r="E73" s="1" t="str">
        <f>IF(ISERROR(VLOOKUP(D73,Categorias!A:B,2,0)),"",VLOOKUP(D73,Categorias!A:B,2,0))</f>
        <v/>
      </c>
      <c r="F73" s="80"/>
      <c r="G73" s="5"/>
      <c r="H73" s="73">
        <f t="shared" si="0"/>
        <v>0</v>
      </c>
    </row>
    <row r="74" spans="4:8" ht="13.8">
      <c r="D74" s="1"/>
      <c r="E74" s="1" t="str">
        <f>IF(ISERROR(VLOOKUP(D74,Categorias!A:B,2,0)),"",VLOOKUP(D74,Categorias!A:B,2,0))</f>
        <v/>
      </c>
      <c r="F74" s="80"/>
      <c r="G74" s="5"/>
      <c r="H74" s="73">
        <f t="shared" si="0"/>
        <v>0</v>
      </c>
    </row>
    <row r="75" spans="4:8" ht="13.8">
      <c r="D75" s="1"/>
      <c r="E75" s="1" t="str">
        <f>IF(ISERROR(VLOOKUP(D75,Categorias!A:B,2,0)),"",VLOOKUP(D75,Categorias!A:B,2,0))</f>
        <v/>
      </c>
      <c r="F75" s="80"/>
      <c r="G75" s="5"/>
      <c r="H75" s="73">
        <f t="shared" si="0"/>
        <v>0</v>
      </c>
    </row>
    <row r="76" spans="4:8" ht="13.8">
      <c r="D76" s="1"/>
      <c r="E76" s="1" t="str">
        <f>IF(ISERROR(VLOOKUP(D76,Categorias!A:B,2,0)),"",VLOOKUP(D76,Categorias!A:B,2,0))</f>
        <v/>
      </c>
      <c r="F76" s="80"/>
      <c r="G76" s="5"/>
      <c r="H76" s="73">
        <f t="shared" si="0"/>
        <v>0</v>
      </c>
    </row>
    <row r="77" spans="4:8" ht="13.8">
      <c r="D77" s="1"/>
      <c r="E77" s="1" t="str">
        <f>IF(ISERROR(VLOOKUP(D77,Categorias!A:B,2,0)),"",VLOOKUP(D77,Categorias!A:B,2,0))</f>
        <v/>
      </c>
      <c r="F77" s="80"/>
      <c r="G77" s="5"/>
      <c r="H77" s="73">
        <f t="shared" si="0"/>
        <v>0</v>
      </c>
    </row>
    <row r="78" spans="4:8" ht="13.8">
      <c r="D78" s="1"/>
      <c r="E78" s="1" t="str">
        <f>IF(ISERROR(VLOOKUP(D78,Categorias!A:B,2,0)),"",VLOOKUP(D78,Categorias!A:B,2,0))</f>
        <v/>
      </c>
      <c r="F78" s="80"/>
      <c r="G78" s="5"/>
      <c r="H78" s="73">
        <f t="shared" ref="H78:H141" si="1">H77+F78-G78</f>
        <v>0</v>
      </c>
    </row>
    <row r="79" spans="4:8" ht="13.8">
      <c r="D79" s="1"/>
      <c r="E79" s="1" t="str">
        <f>IF(ISERROR(VLOOKUP(D79,Categorias!A:B,2,0)),"",VLOOKUP(D79,Categorias!A:B,2,0))</f>
        <v/>
      </c>
      <c r="F79" s="80"/>
      <c r="G79" s="5"/>
      <c r="H79" s="73">
        <f t="shared" si="1"/>
        <v>0</v>
      </c>
    </row>
    <row r="80" spans="4:8" ht="13.8">
      <c r="D80" s="1"/>
      <c r="E80" s="1" t="str">
        <f>IF(ISERROR(VLOOKUP(D80,Categorias!A:B,2,0)),"",VLOOKUP(D80,Categorias!A:B,2,0))</f>
        <v/>
      </c>
      <c r="F80" s="80"/>
      <c r="G80" s="5"/>
      <c r="H80" s="73">
        <f t="shared" si="1"/>
        <v>0</v>
      </c>
    </row>
    <row r="81" spans="4:8" ht="13.8">
      <c r="D81" s="1"/>
      <c r="E81" s="1" t="str">
        <f>IF(ISERROR(VLOOKUP(D81,Categorias!A:B,2,0)),"",VLOOKUP(D81,Categorias!A:B,2,0))</f>
        <v/>
      </c>
      <c r="F81" s="80"/>
      <c r="G81" s="5"/>
      <c r="H81" s="73">
        <f t="shared" si="1"/>
        <v>0</v>
      </c>
    </row>
    <row r="82" spans="4:8" ht="13.8">
      <c r="D82" s="1"/>
      <c r="E82" s="1" t="str">
        <f>IF(ISERROR(VLOOKUP(D82,Categorias!A:B,2,0)),"",VLOOKUP(D82,Categorias!A:B,2,0))</f>
        <v/>
      </c>
      <c r="F82" s="80"/>
      <c r="G82" s="5"/>
      <c r="H82" s="73">
        <f t="shared" si="1"/>
        <v>0</v>
      </c>
    </row>
    <row r="83" spans="4:8" ht="13.8">
      <c r="D83" s="1"/>
      <c r="E83" s="1" t="str">
        <f>IF(ISERROR(VLOOKUP(D83,Categorias!A:B,2,0)),"",VLOOKUP(D83,Categorias!A:B,2,0))</f>
        <v/>
      </c>
      <c r="F83" s="80"/>
      <c r="G83" s="5"/>
      <c r="H83" s="73">
        <f t="shared" si="1"/>
        <v>0</v>
      </c>
    </row>
    <row r="84" spans="4:8" ht="13.8">
      <c r="D84" s="1"/>
      <c r="E84" s="1" t="str">
        <f>IF(ISERROR(VLOOKUP(D84,Categorias!A:B,2,0)),"",VLOOKUP(D84,Categorias!A:B,2,0))</f>
        <v/>
      </c>
      <c r="F84" s="80"/>
      <c r="G84" s="5"/>
      <c r="H84" s="73">
        <f t="shared" si="1"/>
        <v>0</v>
      </c>
    </row>
    <row r="85" spans="4:8" ht="13.8">
      <c r="D85" s="1"/>
      <c r="E85" s="1" t="str">
        <f>IF(ISERROR(VLOOKUP(D85,Categorias!A:B,2,0)),"",VLOOKUP(D85,Categorias!A:B,2,0))</f>
        <v/>
      </c>
      <c r="F85" s="80"/>
      <c r="G85" s="5"/>
      <c r="H85" s="73">
        <f t="shared" si="1"/>
        <v>0</v>
      </c>
    </row>
    <row r="86" spans="4:8" ht="13.8">
      <c r="D86" s="1"/>
      <c r="E86" s="1" t="str">
        <f>IF(ISERROR(VLOOKUP(D86,Categorias!A:B,2,0)),"",VLOOKUP(D86,Categorias!A:B,2,0))</f>
        <v/>
      </c>
      <c r="F86" s="80"/>
      <c r="G86" s="5"/>
      <c r="H86" s="73">
        <f t="shared" si="1"/>
        <v>0</v>
      </c>
    </row>
    <row r="87" spans="4:8" ht="13.8">
      <c r="D87" s="1"/>
      <c r="E87" s="1" t="str">
        <f>IF(ISERROR(VLOOKUP(D87,Categorias!A:B,2,0)),"",VLOOKUP(D87,Categorias!A:B,2,0))</f>
        <v/>
      </c>
      <c r="F87" s="80"/>
      <c r="G87" s="5"/>
      <c r="H87" s="73">
        <f t="shared" si="1"/>
        <v>0</v>
      </c>
    </row>
    <row r="88" spans="4:8" ht="13.8">
      <c r="D88" s="1"/>
      <c r="E88" s="1" t="str">
        <f>IF(ISERROR(VLOOKUP(D88,Categorias!A:B,2,0)),"",VLOOKUP(D88,Categorias!A:B,2,0))</f>
        <v/>
      </c>
      <c r="F88" s="80"/>
      <c r="G88" s="5"/>
      <c r="H88" s="73">
        <f t="shared" si="1"/>
        <v>0</v>
      </c>
    </row>
    <row r="89" spans="4:8" ht="13.8">
      <c r="D89" s="1"/>
      <c r="E89" s="1" t="str">
        <f>IF(ISERROR(VLOOKUP(D89,Categorias!A:B,2,0)),"",VLOOKUP(D89,Categorias!A:B,2,0))</f>
        <v/>
      </c>
      <c r="F89" s="80"/>
      <c r="G89" s="5"/>
      <c r="H89" s="73">
        <f t="shared" si="1"/>
        <v>0</v>
      </c>
    </row>
    <row r="90" spans="4:8" ht="13.8">
      <c r="D90" s="1"/>
      <c r="E90" s="1" t="str">
        <f>IF(ISERROR(VLOOKUP(D90,Categorias!A:B,2,0)),"",VLOOKUP(D90,Categorias!A:B,2,0))</f>
        <v/>
      </c>
      <c r="F90" s="80"/>
      <c r="G90" s="5"/>
      <c r="H90" s="73">
        <f t="shared" si="1"/>
        <v>0</v>
      </c>
    </row>
    <row r="91" spans="4:8" ht="13.8">
      <c r="D91" s="1"/>
      <c r="E91" s="1" t="str">
        <f>IF(ISERROR(VLOOKUP(D91,Categorias!A:B,2,0)),"",VLOOKUP(D91,Categorias!A:B,2,0))</f>
        <v/>
      </c>
      <c r="F91" s="80"/>
      <c r="G91" s="5"/>
      <c r="H91" s="73">
        <f t="shared" si="1"/>
        <v>0</v>
      </c>
    </row>
    <row r="92" spans="4:8" ht="13.8">
      <c r="D92" s="1"/>
      <c r="E92" s="1" t="str">
        <f>IF(ISERROR(VLOOKUP(D92,Categorias!A:B,2,0)),"",VLOOKUP(D92,Categorias!A:B,2,0))</f>
        <v/>
      </c>
      <c r="F92" s="80"/>
      <c r="G92" s="5"/>
      <c r="H92" s="73">
        <f t="shared" si="1"/>
        <v>0</v>
      </c>
    </row>
    <row r="93" spans="4:8" ht="13.8">
      <c r="D93" s="1"/>
      <c r="E93" s="1" t="str">
        <f>IF(ISERROR(VLOOKUP(D93,Categorias!A:B,2,0)),"",VLOOKUP(D93,Categorias!A:B,2,0))</f>
        <v/>
      </c>
      <c r="F93" s="80"/>
      <c r="G93" s="5"/>
      <c r="H93" s="73">
        <f t="shared" si="1"/>
        <v>0</v>
      </c>
    </row>
    <row r="94" spans="4:8" ht="13.8">
      <c r="D94" s="1"/>
      <c r="E94" s="1" t="str">
        <f>IF(ISERROR(VLOOKUP(D94,Categorias!A:B,2,0)),"",VLOOKUP(D94,Categorias!A:B,2,0))</f>
        <v/>
      </c>
      <c r="F94" s="80"/>
      <c r="G94" s="5"/>
      <c r="H94" s="73">
        <f t="shared" si="1"/>
        <v>0</v>
      </c>
    </row>
    <row r="95" spans="4:8" ht="13.8">
      <c r="D95" s="1"/>
      <c r="E95" s="1" t="str">
        <f>IF(ISERROR(VLOOKUP(D95,Categorias!A:B,2,0)),"",VLOOKUP(D95,Categorias!A:B,2,0))</f>
        <v/>
      </c>
      <c r="F95" s="80"/>
      <c r="G95" s="5"/>
      <c r="H95" s="73">
        <f t="shared" si="1"/>
        <v>0</v>
      </c>
    </row>
    <row r="96" spans="4:8" ht="13.8">
      <c r="D96" s="1"/>
      <c r="E96" s="1" t="str">
        <f>IF(ISERROR(VLOOKUP(D96,Categorias!A:B,2,0)),"",VLOOKUP(D96,Categorias!A:B,2,0))</f>
        <v/>
      </c>
      <c r="F96" s="80"/>
      <c r="G96" s="5"/>
      <c r="H96" s="73">
        <f t="shared" si="1"/>
        <v>0</v>
      </c>
    </row>
    <row r="97" spans="4:8" ht="13.8">
      <c r="D97" s="1"/>
      <c r="E97" s="1" t="str">
        <f>IF(ISERROR(VLOOKUP(D97,Categorias!A:B,2,0)),"",VLOOKUP(D97,Categorias!A:B,2,0))</f>
        <v/>
      </c>
      <c r="F97" s="80"/>
      <c r="G97" s="5"/>
      <c r="H97" s="73">
        <f t="shared" si="1"/>
        <v>0</v>
      </c>
    </row>
    <row r="98" spans="4:8" ht="13.8">
      <c r="D98" s="1"/>
      <c r="E98" s="1" t="str">
        <f>IF(ISERROR(VLOOKUP(D98,Categorias!A:B,2,0)),"",VLOOKUP(D98,Categorias!A:B,2,0))</f>
        <v/>
      </c>
      <c r="F98" s="80"/>
      <c r="G98" s="5"/>
      <c r="H98" s="73">
        <f t="shared" si="1"/>
        <v>0</v>
      </c>
    </row>
    <row r="99" spans="4:8" ht="13.8">
      <c r="D99" s="1"/>
      <c r="E99" s="1" t="str">
        <f>IF(ISERROR(VLOOKUP(D99,Categorias!A:B,2,0)),"",VLOOKUP(D99,Categorias!A:B,2,0))</f>
        <v/>
      </c>
      <c r="F99" s="80"/>
      <c r="G99" s="5"/>
      <c r="H99" s="73">
        <f t="shared" si="1"/>
        <v>0</v>
      </c>
    </row>
    <row r="100" spans="4:8" ht="13.8">
      <c r="D100" s="1"/>
      <c r="E100" s="1" t="str">
        <f>IF(ISERROR(VLOOKUP(D100,Categorias!A:B,2,0)),"",VLOOKUP(D100,Categorias!A:B,2,0))</f>
        <v/>
      </c>
      <c r="F100" s="80"/>
      <c r="G100" s="5"/>
      <c r="H100" s="73">
        <f t="shared" si="1"/>
        <v>0</v>
      </c>
    </row>
    <row r="101" spans="4:8" ht="13.8">
      <c r="D101" s="1"/>
      <c r="E101" s="1" t="str">
        <f>IF(ISERROR(VLOOKUP(D101,Categorias!A:B,2,0)),"",VLOOKUP(D101,Categorias!A:B,2,0))</f>
        <v/>
      </c>
      <c r="F101" s="80"/>
      <c r="G101" s="5"/>
      <c r="H101" s="73">
        <f t="shared" si="1"/>
        <v>0</v>
      </c>
    </row>
    <row r="102" spans="4:8" ht="13.8">
      <c r="D102" s="1"/>
      <c r="E102" s="1" t="str">
        <f>IF(ISERROR(VLOOKUP(D102,Categorias!A:B,2,0)),"",VLOOKUP(D102,Categorias!A:B,2,0))</f>
        <v/>
      </c>
      <c r="F102" s="80"/>
      <c r="G102" s="5"/>
      <c r="H102" s="73">
        <f t="shared" si="1"/>
        <v>0</v>
      </c>
    </row>
    <row r="103" spans="4:8" ht="13.8">
      <c r="D103" s="1"/>
      <c r="E103" s="1" t="str">
        <f>IF(ISERROR(VLOOKUP(D103,Categorias!A:B,2,0)),"",VLOOKUP(D103,Categorias!A:B,2,0))</f>
        <v/>
      </c>
      <c r="F103" s="80"/>
      <c r="G103" s="5"/>
      <c r="H103" s="73">
        <f t="shared" si="1"/>
        <v>0</v>
      </c>
    </row>
    <row r="104" spans="4:8" ht="13.8">
      <c r="D104" s="1"/>
      <c r="E104" s="1" t="str">
        <f>IF(ISERROR(VLOOKUP(D104,Categorias!A:B,2,0)),"",VLOOKUP(D104,Categorias!A:B,2,0))</f>
        <v/>
      </c>
      <c r="F104" s="80"/>
      <c r="G104" s="5"/>
      <c r="H104" s="73">
        <f t="shared" si="1"/>
        <v>0</v>
      </c>
    </row>
    <row r="105" spans="4:8" ht="13.8">
      <c r="D105" s="1"/>
      <c r="E105" s="1" t="str">
        <f>IF(ISERROR(VLOOKUP(D105,Categorias!A:B,2,0)),"",VLOOKUP(D105,Categorias!A:B,2,0))</f>
        <v/>
      </c>
      <c r="F105" s="80"/>
      <c r="G105" s="5"/>
      <c r="H105" s="73">
        <f t="shared" si="1"/>
        <v>0</v>
      </c>
    </row>
    <row r="106" spans="4:8" ht="13.8">
      <c r="D106" s="1"/>
      <c r="E106" s="1" t="str">
        <f>IF(ISERROR(VLOOKUP(D106,Categorias!A:B,2,0)),"",VLOOKUP(D106,Categorias!A:B,2,0))</f>
        <v/>
      </c>
      <c r="F106" s="80"/>
      <c r="G106" s="5"/>
      <c r="H106" s="73">
        <f t="shared" si="1"/>
        <v>0</v>
      </c>
    </row>
    <row r="107" spans="4:8" ht="13.8">
      <c r="D107" s="1"/>
      <c r="E107" s="1" t="str">
        <f>IF(ISERROR(VLOOKUP(D107,Categorias!A:B,2,0)),"",VLOOKUP(D107,Categorias!A:B,2,0))</f>
        <v/>
      </c>
      <c r="F107" s="80"/>
      <c r="G107" s="5"/>
      <c r="H107" s="73">
        <f t="shared" si="1"/>
        <v>0</v>
      </c>
    </row>
    <row r="108" spans="4:8" ht="13.8">
      <c r="D108" s="1"/>
      <c r="E108" s="1" t="str">
        <f>IF(ISERROR(VLOOKUP(D108,Categorias!A:B,2,0)),"",VLOOKUP(D108,Categorias!A:B,2,0))</f>
        <v/>
      </c>
      <c r="F108" s="80"/>
      <c r="G108" s="5"/>
      <c r="H108" s="73">
        <f t="shared" si="1"/>
        <v>0</v>
      </c>
    </row>
    <row r="109" spans="4:8" ht="13.8">
      <c r="D109" s="1"/>
      <c r="E109" s="1" t="str">
        <f>IF(ISERROR(VLOOKUP(D109,Categorias!A:B,2,0)),"",VLOOKUP(D109,Categorias!A:B,2,0))</f>
        <v/>
      </c>
      <c r="F109" s="80"/>
      <c r="G109" s="5"/>
      <c r="H109" s="73">
        <f t="shared" si="1"/>
        <v>0</v>
      </c>
    </row>
    <row r="110" spans="4:8" ht="13.8">
      <c r="D110" s="1"/>
      <c r="E110" s="1" t="str">
        <f>IF(ISERROR(VLOOKUP(D110,Categorias!A:B,2,0)),"",VLOOKUP(D110,Categorias!A:B,2,0))</f>
        <v/>
      </c>
      <c r="F110" s="80"/>
      <c r="G110" s="5"/>
      <c r="H110" s="73">
        <f t="shared" si="1"/>
        <v>0</v>
      </c>
    </row>
    <row r="111" spans="4:8" ht="13.8">
      <c r="D111" s="1"/>
      <c r="E111" s="1" t="str">
        <f>IF(ISERROR(VLOOKUP(D111,Categorias!A:B,2,0)),"",VLOOKUP(D111,Categorias!A:B,2,0))</f>
        <v/>
      </c>
      <c r="F111" s="80"/>
      <c r="G111" s="5"/>
      <c r="H111" s="73">
        <f t="shared" si="1"/>
        <v>0</v>
      </c>
    </row>
    <row r="112" spans="4:8" ht="13.8">
      <c r="D112" s="1"/>
      <c r="E112" s="1" t="str">
        <f>IF(ISERROR(VLOOKUP(D112,Categorias!A:B,2,0)),"",VLOOKUP(D112,Categorias!A:B,2,0))</f>
        <v/>
      </c>
      <c r="F112" s="80"/>
      <c r="G112" s="5"/>
      <c r="H112" s="73">
        <f t="shared" si="1"/>
        <v>0</v>
      </c>
    </row>
    <row r="113" spans="4:8" ht="13.8">
      <c r="D113" s="1"/>
      <c r="E113" s="1" t="str">
        <f>IF(ISERROR(VLOOKUP(D113,Categorias!A:B,2,0)),"",VLOOKUP(D113,Categorias!A:B,2,0))</f>
        <v/>
      </c>
      <c r="F113" s="80"/>
      <c r="G113" s="5"/>
      <c r="H113" s="73">
        <f t="shared" si="1"/>
        <v>0</v>
      </c>
    </row>
    <row r="114" spans="4:8" ht="13.8">
      <c r="D114" s="1"/>
      <c r="E114" s="1" t="str">
        <f>IF(ISERROR(VLOOKUP(D114,Categorias!A:B,2,0)),"",VLOOKUP(D114,Categorias!A:B,2,0))</f>
        <v/>
      </c>
      <c r="F114" s="80"/>
      <c r="G114" s="5"/>
      <c r="H114" s="73">
        <f t="shared" si="1"/>
        <v>0</v>
      </c>
    </row>
    <row r="115" spans="4:8" ht="13.8">
      <c r="D115" s="1"/>
      <c r="E115" s="1" t="str">
        <f>IF(ISERROR(VLOOKUP(D115,Categorias!A:B,2,0)),"",VLOOKUP(D115,Categorias!A:B,2,0))</f>
        <v/>
      </c>
      <c r="F115" s="80"/>
      <c r="G115" s="5"/>
      <c r="H115" s="73">
        <f t="shared" si="1"/>
        <v>0</v>
      </c>
    </row>
    <row r="116" spans="4:8" ht="13.8">
      <c r="D116" s="1"/>
      <c r="E116" s="1" t="str">
        <f>IF(ISERROR(VLOOKUP(D116,Categorias!A:B,2,0)),"",VLOOKUP(D116,Categorias!A:B,2,0))</f>
        <v/>
      </c>
      <c r="F116" s="80"/>
      <c r="G116" s="5"/>
      <c r="H116" s="73">
        <f t="shared" si="1"/>
        <v>0</v>
      </c>
    </row>
    <row r="117" spans="4:8" ht="13.8">
      <c r="D117" s="1"/>
      <c r="E117" s="1" t="str">
        <f>IF(ISERROR(VLOOKUP(D117,Categorias!A:B,2,0)),"",VLOOKUP(D117,Categorias!A:B,2,0))</f>
        <v/>
      </c>
      <c r="F117" s="80"/>
      <c r="G117" s="5"/>
      <c r="H117" s="73">
        <f t="shared" si="1"/>
        <v>0</v>
      </c>
    </row>
    <row r="118" spans="4:8" ht="13.8">
      <c r="D118" s="1"/>
      <c r="E118" s="1" t="str">
        <f>IF(ISERROR(VLOOKUP(D118,Categorias!A:B,2,0)),"",VLOOKUP(D118,Categorias!A:B,2,0))</f>
        <v/>
      </c>
      <c r="F118" s="80"/>
      <c r="G118" s="5"/>
      <c r="H118" s="73">
        <f t="shared" si="1"/>
        <v>0</v>
      </c>
    </row>
    <row r="119" spans="4:8" ht="13.8">
      <c r="D119" s="1"/>
      <c r="E119" s="1" t="str">
        <f>IF(ISERROR(VLOOKUP(D119,Categorias!A:B,2,0)),"",VLOOKUP(D119,Categorias!A:B,2,0))</f>
        <v/>
      </c>
      <c r="F119" s="80"/>
      <c r="G119" s="5"/>
      <c r="H119" s="73">
        <f t="shared" si="1"/>
        <v>0</v>
      </c>
    </row>
    <row r="120" spans="4:8" ht="13.8">
      <c r="D120" s="1"/>
      <c r="E120" s="1" t="str">
        <f>IF(ISERROR(VLOOKUP(D120,Categorias!A:B,2,0)),"",VLOOKUP(D120,Categorias!A:B,2,0))</f>
        <v/>
      </c>
      <c r="F120" s="80"/>
      <c r="G120" s="5"/>
      <c r="H120" s="73">
        <f t="shared" si="1"/>
        <v>0</v>
      </c>
    </row>
    <row r="121" spans="4:8" ht="13.8">
      <c r="D121" s="1"/>
      <c r="E121" s="1" t="str">
        <f>IF(ISERROR(VLOOKUP(D121,Categorias!A:B,2,0)),"",VLOOKUP(D121,Categorias!A:B,2,0))</f>
        <v/>
      </c>
      <c r="F121" s="80"/>
      <c r="G121" s="5"/>
      <c r="H121" s="73">
        <f t="shared" si="1"/>
        <v>0</v>
      </c>
    </row>
    <row r="122" spans="4:8" ht="13.8">
      <c r="D122" s="1"/>
      <c r="E122" s="1" t="str">
        <f>IF(ISERROR(VLOOKUP(D122,Categorias!A:B,2,0)),"",VLOOKUP(D122,Categorias!A:B,2,0))</f>
        <v/>
      </c>
      <c r="F122" s="80"/>
      <c r="G122" s="5"/>
      <c r="H122" s="73">
        <f t="shared" si="1"/>
        <v>0</v>
      </c>
    </row>
    <row r="123" spans="4:8" ht="13.8">
      <c r="D123" s="1"/>
      <c r="E123" s="1" t="str">
        <f>IF(ISERROR(VLOOKUP(D123,Categorias!A:B,2,0)),"",VLOOKUP(D123,Categorias!A:B,2,0))</f>
        <v/>
      </c>
      <c r="F123" s="80"/>
      <c r="G123" s="5"/>
      <c r="H123" s="73">
        <f t="shared" si="1"/>
        <v>0</v>
      </c>
    </row>
    <row r="124" spans="4:8" ht="13.8">
      <c r="D124" s="1"/>
      <c r="E124" s="1" t="str">
        <f>IF(ISERROR(VLOOKUP(D124,Categorias!A:B,2,0)),"",VLOOKUP(D124,Categorias!A:B,2,0))</f>
        <v/>
      </c>
      <c r="F124" s="80"/>
      <c r="G124" s="5"/>
      <c r="H124" s="73">
        <f t="shared" si="1"/>
        <v>0</v>
      </c>
    </row>
    <row r="125" spans="4:8" ht="13.8">
      <c r="D125" s="1"/>
      <c r="E125" s="1" t="str">
        <f>IF(ISERROR(VLOOKUP(D125,Categorias!A:B,2,0)),"",VLOOKUP(D125,Categorias!A:B,2,0))</f>
        <v/>
      </c>
      <c r="F125" s="80"/>
      <c r="G125" s="5"/>
      <c r="H125" s="73">
        <f t="shared" si="1"/>
        <v>0</v>
      </c>
    </row>
    <row r="126" spans="4:8" ht="13.8">
      <c r="D126" s="1"/>
      <c r="E126" s="1" t="str">
        <f>IF(ISERROR(VLOOKUP(D126,Categorias!A:B,2,0)),"",VLOOKUP(D126,Categorias!A:B,2,0))</f>
        <v/>
      </c>
      <c r="F126" s="80"/>
      <c r="G126" s="5"/>
      <c r="H126" s="73">
        <f t="shared" si="1"/>
        <v>0</v>
      </c>
    </row>
    <row r="127" spans="4:8" ht="13.8">
      <c r="D127" s="1"/>
      <c r="E127" s="1" t="str">
        <f>IF(ISERROR(VLOOKUP(D127,Categorias!A:B,2,0)),"",VLOOKUP(D127,Categorias!A:B,2,0))</f>
        <v/>
      </c>
      <c r="F127" s="80"/>
      <c r="G127" s="5"/>
      <c r="H127" s="73">
        <f t="shared" si="1"/>
        <v>0</v>
      </c>
    </row>
    <row r="128" spans="4:8" ht="13.8">
      <c r="D128" s="1"/>
      <c r="E128" s="1" t="str">
        <f>IF(ISERROR(VLOOKUP(D128,Categorias!A:B,2,0)),"",VLOOKUP(D128,Categorias!A:B,2,0))</f>
        <v/>
      </c>
      <c r="F128" s="80"/>
      <c r="G128" s="5"/>
      <c r="H128" s="73">
        <f t="shared" si="1"/>
        <v>0</v>
      </c>
    </row>
    <row r="129" spans="4:8" ht="13.8">
      <c r="D129" s="1"/>
      <c r="E129" s="1" t="str">
        <f>IF(ISERROR(VLOOKUP(D129,Categorias!A:B,2,0)),"",VLOOKUP(D129,Categorias!A:B,2,0))</f>
        <v/>
      </c>
      <c r="F129" s="80"/>
      <c r="G129" s="5"/>
      <c r="H129" s="73">
        <f t="shared" si="1"/>
        <v>0</v>
      </c>
    </row>
    <row r="130" spans="4:8" ht="13.8">
      <c r="D130" s="1"/>
      <c r="E130" s="1" t="str">
        <f>IF(ISERROR(VLOOKUP(D130,Categorias!A:B,2,0)),"",VLOOKUP(D130,Categorias!A:B,2,0))</f>
        <v/>
      </c>
      <c r="F130" s="80"/>
      <c r="G130" s="5"/>
      <c r="H130" s="73">
        <f t="shared" si="1"/>
        <v>0</v>
      </c>
    </row>
    <row r="131" spans="4:8" ht="13.8">
      <c r="D131" s="1"/>
      <c r="E131" s="1" t="str">
        <f>IF(ISERROR(VLOOKUP(D131,Categorias!A:B,2,0)),"",VLOOKUP(D131,Categorias!A:B,2,0))</f>
        <v/>
      </c>
      <c r="F131" s="80"/>
      <c r="G131" s="5"/>
      <c r="H131" s="73">
        <f t="shared" si="1"/>
        <v>0</v>
      </c>
    </row>
    <row r="132" spans="4:8" ht="13.8">
      <c r="D132" s="1"/>
      <c r="E132" s="1" t="str">
        <f>IF(ISERROR(VLOOKUP(D132,Categorias!A:B,2,0)),"",VLOOKUP(D132,Categorias!A:B,2,0))</f>
        <v/>
      </c>
      <c r="F132" s="80"/>
      <c r="G132" s="5"/>
      <c r="H132" s="73">
        <f t="shared" si="1"/>
        <v>0</v>
      </c>
    </row>
    <row r="133" spans="4:8" ht="13.8">
      <c r="D133" s="1"/>
      <c r="E133" s="1" t="str">
        <f>IF(ISERROR(VLOOKUP(D133,Categorias!A:B,2,0)),"",VLOOKUP(D133,Categorias!A:B,2,0))</f>
        <v/>
      </c>
      <c r="F133" s="80"/>
      <c r="G133" s="5"/>
      <c r="H133" s="73">
        <f t="shared" si="1"/>
        <v>0</v>
      </c>
    </row>
    <row r="134" spans="4:8" ht="13.8">
      <c r="D134" s="1"/>
      <c r="E134" s="1" t="str">
        <f>IF(ISERROR(VLOOKUP(D134,Categorias!A:B,2,0)),"",VLOOKUP(D134,Categorias!A:B,2,0))</f>
        <v/>
      </c>
      <c r="F134" s="80"/>
      <c r="G134" s="5"/>
      <c r="H134" s="73">
        <f t="shared" si="1"/>
        <v>0</v>
      </c>
    </row>
    <row r="135" spans="4:8" ht="13.8">
      <c r="D135" s="1"/>
      <c r="E135" s="1" t="str">
        <f>IF(ISERROR(VLOOKUP(D135,Categorias!A:B,2,0)),"",VLOOKUP(D135,Categorias!A:B,2,0))</f>
        <v/>
      </c>
      <c r="F135" s="80"/>
      <c r="G135" s="5"/>
      <c r="H135" s="73">
        <f t="shared" si="1"/>
        <v>0</v>
      </c>
    </row>
    <row r="136" spans="4:8" ht="13.8">
      <c r="D136" s="1"/>
      <c r="E136" s="1" t="str">
        <f>IF(ISERROR(VLOOKUP(D136,Categorias!A:B,2,0)),"",VLOOKUP(D136,Categorias!A:B,2,0))</f>
        <v/>
      </c>
      <c r="F136" s="80"/>
      <c r="G136" s="5"/>
      <c r="H136" s="73">
        <f t="shared" si="1"/>
        <v>0</v>
      </c>
    </row>
    <row r="137" spans="4:8" ht="13.8">
      <c r="D137" s="1"/>
      <c r="E137" s="1" t="str">
        <f>IF(ISERROR(VLOOKUP(D137,Categorias!A:B,2,0)),"",VLOOKUP(D137,Categorias!A:B,2,0))</f>
        <v/>
      </c>
      <c r="F137" s="80"/>
      <c r="G137" s="5"/>
      <c r="H137" s="73">
        <f t="shared" si="1"/>
        <v>0</v>
      </c>
    </row>
    <row r="138" spans="4:8" ht="13.8">
      <c r="D138" s="1"/>
      <c r="E138" s="1" t="str">
        <f>IF(ISERROR(VLOOKUP(D138,Categorias!A:B,2,0)),"",VLOOKUP(D138,Categorias!A:B,2,0))</f>
        <v/>
      </c>
      <c r="F138" s="80"/>
      <c r="G138" s="5"/>
      <c r="H138" s="73">
        <f t="shared" si="1"/>
        <v>0</v>
      </c>
    </row>
    <row r="139" spans="4:8" ht="13.8">
      <c r="D139" s="1"/>
      <c r="E139" s="1" t="str">
        <f>IF(ISERROR(VLOOKUP(D139,Categorias!A:B,2,0)),"",VLOOKUP(D139,Categorias!A:B,2,0))</f>
        <v/>
      </c>
      <c r="F139" s="80"/>
      <c r="G139" s="5"/>
      <c r="H139" s="73">
        <f t="shared" si="1"/>
        <v>0</v>
      </c>
    </row>
    <row r="140" spans="4:8" ht="13.8">
      <c r="D140" s="1"/>
      <c r="E140" s="1" t="str">
        <f>IF(ISERROR(VLOOKUP(D140,Categorias!A:B,2,0)),"",VLOOKUP(D140,Categorias!A:B,2,0))</f>
        <v/>
      </c>
      <c r="F140" s="80"/>
      <c r="G140" s="5"/>
      <c r="H140" s="73">
        <f t="shared" si="1"/>
        <v>0</v>
      </c>
    </row>
    <row r="141" spans="4:8" ht="13.8">
      <c r="D141" s="1"/>
      <c r="E141" s="1" t="str">
        <f>IF(ISERROR(VLOOKUP(D141,Categorias!A:B,2,0)),"",VLOOKUP(D141,Categorias!A:B,2,0))</f>
        <v/>
      </c>
      <c r="F141" s="80"/>
      <c r="G141" s="5"/>
      <c r="H141" s="73">
        <f t="shared" si="1"/>
        <v>0</v>
      </c>
    </row>
    <row r="142" spans="4:8" ht="13.8">
      <c r="D142" s="1"/>
      <c r="E142" s="1" t="str">
        <f>IF(ISERROR(VLOOKUP(D142,Categorias!A:B,2,0)),"",VLOOKUP(D142,Categorias!A:B,2,0))</f>
        <v/>
      </c>
      <c r="F142" s="80"/>
      <c r="G142" s="5"/>
      <c r="H142" s="73">
        <f t="shared" ref="H142:H205" si="2">H141+F142-G142</f>
        <v>0</v>
      </c>
    </row>
    <row r="143" spans="4:8" ht="13.8">
      <c r="D143" s="1"/>
      <c r="E143" s="1" t="str">
        <f>IF(ISERROR(VLOOKUP(D143,Categorias!A:B,2,0)),"",VLOOKUP(D143,Categorias!A:B,2,0))</f>
        <v/>
      </c>
      <c r="F143" s="80"/>
      <c r="G143" s="5"/>
      <c r="H143" s="73">
        <f t="shared" si="2"/>
        <v>0</v>
      </c>
    </row>
    <row r="144" spans="4:8" ht="13.8">
      <c r="D144" s="1"/>
      <c r="E144" s="1" t="str">
        <f>IF(ISERROR(VLOOKUP(D144,Categorias!A:B,2,0)),"",VLOOKUP(D144,Categorias!A:B,2,0))</f>
        <v/>
      </c>
      <c r="F144" s="80"/>
      <c r="G144" s="5"/>
      <c r="H144" s="73">
        <f t="shared" si="2"/>
        <v>0</v>
      </c>
    </row>
    <row r="145" spans="4:8" ht="13.8">
      <c r="D145" s="1"/>
      <c r="E145" s="1" t="str">
        <f>IF(ISERROR(VLOOKUP(D145,Categorias!A:B,2,0)),"",VLOOKUP(D145,Categorias!A:B,2,0))</f>
        <v/>
      </c>
      <c r="F145" s="80"/>
      <c r="G145" s="5"/>
      <c r="H145" s="73">
        <f t="shared" si="2"/>
        <v>0</v>
      </c>
    </row>
    <row r="146" spans="4:8" ht="13.8">
      <c r="D146" s="1"/>
      <c r="E146" s="1" t="str">
        <f>IF(ISERROR(VLOOKUP(D146,Categorias!A:B,2,0)),"",VLOOKUP(D146,Categorias!A:B,2,0))</f>
        <v/>
      </c>
      <c r="F146" s="80"/>
      <c r="G146" s="5"/>
      <c r="H146" s="73">
        <f t="shared" si="2"/>
        <v>0</v>
      </c>
    </row>
    <row r="147" spans="4:8" ht="13.8">
      <c r="D147" s="1"/>
      <c r="E147" s="1" t="str">
        <f>IF(ISERROR(VLOOKUP(D147,Categorias!A:B,2,0)),"",VLOOKUP(D147,Categorias!A:B,2,0))</f>
        <v/>
      </c>
      <c r="F147" s="80"/>
      <c r="G147" s="5"/>
      <c r="H147" s="73">
        <f t="shared" si="2"/>
        <v>0</v>
      </c>
    </row>
    <row r="148" spans="4:8" ht="13.8">
      <c r="D148" s="1"/>
      <c r="E148" s="1" t="str">
        <f>IF(ISERROR(VLOOKUP(D148,Categorias!A:B,2,0)),"",VLOOKUP(D148,Categorias!A:B,2,0))</f>
        <v/>
      </c>
      <c r="F148" s="80"/>
      <c r="G148" s="5"/>
      <c r="H148" s="73">
        <f t="shared" si="2"/>
        <v>0</v>
      </c>
    </row>
    <row r="149" spans="4:8" ht="13.8">
      <c r="D149" s="1"/>
      <c r="E149" s="1" t="str">
        <f>IF(ISERROR(VLOOKUP(D149,Categorias!A:B,2,0)),"",VLOOKUP(D149,Categorias!A:B,2,0))</f>
        <v/>
      </c>
      <c r="F149" s="80"/>
      <c r="G149" s="5"/>
      <c r="H149" s="73">
        <f t="shared" si="2"/>
        <v>0</v>
      </c>
    </row>
    <row r="150" spans="4:8" ht="13.8">
      <c r="D150" s="1"/>
      <c r="E150" s="1" t="str">
        <f>IF(ISERROR(VLOOKUP(D150,Categorias!A:B,2,0)),"",VLOOKUP(D150,Categorias!A:B,2,0))</f>
        <v/>
      </c>
      <c r="F150" s="80"/>
      <c r="G150" s="5"/>
      <c r="H150" s="73">
        <f t="shared" si="2"/>
        <v>0</v>
      </c>
    </row>
    <row r="151" spans="4:8" ht="13.8">
      <c r="D151" s="1"/>
      <c r="E151" s="1" t="str">
        <f>IF(ISERROR(VLOOKUP(D151,Categorias!A:B,2,0)),"",VLOOKUP(D151,Categorias!A:B,2,0))</f>
        <v/>
      </c>
      <c r="F151" s="80"/>
      <c r="G151" s="5"/>
      <c r="H151" s="73">
        <f t="shared" si="2"/>
        <v>0</v>
      </c>
    </row>
    <row r="152" spans="4:8" ht="13.8">
      <c r="D152" s="1"/>
      <c r="E152" s="1" t="str">
        <f>IF(ISERROR(VLOOKUP(D152,Categorias!A:B,2,0)),"",VLOOKUP(D152,Categorias!A:B,2,0))</f>
        <v/>
      </c>
      <c r="F152" s="80"/>
      <c r="G152" s="5"/>
      <c r="H152" s="73">
        <f t="shared" si="2"/>
        <v>0</v>
      </c>
    </row>
    <row r="153" spans="4:8" ht="13.8">
      <c r="D153" s="1"/>
      <c r="E153" s="1" t="str">
        <f>IF(ISERROR(VLOOKUP(D153,Categorias!A:B,2,0)),"",VLOOKUP(D153,Categorias!A:B,2,0))</f>
        <v/>
      </c>
      <c r="F153" s="80"/>
      <c r="G153" s="5"/>
      <c r="H153" s="73">
        <f t="shared" si="2"/>
        <v>0</v>
      </c>
    </row>
    <row r="154" spans="4:8" ht="13.8">
      <c r="D154" s="1"/>
      <c r="E154" s="1" t="str">
        <f>IF(ISERROR(VLOOKUP(D154,Categorias!A:B,2,0)),"",VLOOKUP(D154,Categorias!A:B,2,0))</f>
        <v/>
      </c>
      <c r="F154" s="80"/>
      <c r="G154" s="5"/>
      <c r="H154" s="73">
        <f t="shared" si="2"/>
        <v>0</v>
      </c>
    </row>
    <row r="155" spans="4:8" ht="13.8">
      <c r="D155" s="1"/>
      <c r="E155" s="1" t="str">
        <f>IF(ISERROR(VLOOKUP(D155,Categorias!A:B,2,0)),"",VLOOKUP(D155,Categorias!A:B,2,0))</f>
        <v/>
      </c>
      <c r="F155" s="80"/>
      <c r="G155" s="5"/>
      <c r="H155" s="73">
        <f t="shared" si="2"/>
        <v>0</v>
      </c>
    </row>
    <row r="156" spans="4:8" ht="13.8">
      <c r="D156" s="1"/>
      <c r="E156" s="1" t="str">
        <f>IF(ISERROR(VLOOKUP(D156,Categorias!A:B,2,0)),"",VLOOKUP(D156,Categorias!A:B,2,0))</f>
        <v/>
      </c>
      <c r="F156" s="80"/>
      <c r="G156" s="5"/>
      <c r="H156" s="73">
        <f t="shared" si="2"/>
        <v>0</v>
      </c>
    </row>
    <row r="157" spans="4:8" ht="13.8">
      <c r="D157" s="1"/>
      <c r="E157" s="1" t="str">
        <f>IF(ISERROR(VLOOKUP(D157,Categorias!A:B,2,0)),"",VLOOKUP(D157,Categorias!A:B,2,0))</f>
        <v/>
      </c>
      <c r="F157" s="80"/>
      <c r="G157" s="5"/>
      <c r="H157" s="73">
        <f t="shared" si="2"/>
        <v>0</v>
      </c>
    </row>
    <row r="158" spans="4:8" ht="13.8">
      <c r="D158" s="1"/>
      <c r="E158" s="1" t="str">
        <f>IF(ISERROR(VLOOKUP(D158,Categorias!A:B,2,0)),"",VLOOKUP(D158,Categorias!A:B,2,0))</f>
        <v/>
      </c>
      <c r="F158" s="80"/>
      <c r="G158" s="5"/>
      <c r="H158" s="73">
        <f t="shared" si="2"/>
        <v>0</v>
      </c>
    </row>
    <row r="159" spans="4:8" ht="13.8">
      <c r="D159" s="1"/>
      <c r="E159" s="1" t="str">
        <f>IF(ISERROR(VLOOKUP(D159,Categorias!A:B,2,0)),"",VLOOKUP(D159,Categorias!A:B,2,0))</f>
        <v/>
      </c>
      <c r="F159" s="80"/>
      <c r="G159" s="5"/>
      <c r="H159" s="73">
        <f t="shared" si="2"/>
        <v>0</v>
      </c>
    </row>
    <row r="160" spans="4:8" ht="13.8">
      <c r="D160" s="1"/>
      <c r="E160" s="1" t="str">
        <f>IF(ISERROR(VLOOKUP(D160,Categorias!A:B,2,0)),"",VLOOKUP(D160,Categorias!A:B,2,0))</f>
        <v/>
      </c>
      <c r="F160" s="80"/>
      <c r="G160" s="5"/>
      <c r="H160" s="73">
        <f t="shared" si="2"/>
        <v>0</v>
      </c>
    </row>
    <row r="161" spans="4:8" ht="13.8">
      <c r="D161" s="1"/>
      <c r="E161" s="1" t="str">
        <f>IF(ISERROR(VLOOKUP(D161,Categorias!A:B,2,0)),"",VLOOKUP(D161,Categorias!A:B,2,0))</f>
        <v/>
      </c>
      <c r="F161" s="80"/>
      <c r="G161" s="5"/>
      <c r="H161" s="73">
        <f t="shared" si="2"/>
        <v>0</v>
      </c>
    </row>
    <row r="162" spans="4:8" ht="13.8">
      <c r="D162" s="1"/>
      <c r="E162" s="1" t="str">
        <f>IF(ISERROR(VLOOKUP(D162,Categorias!A:B,2,0)),"",VLOOKUP(D162,Categorias!A:B,2,0))</f>
        <v/>
      </c>
      <c r="F162" s="80"/>
      <c r="G162" s="5"/>
      <c r="H162" s="73">
        <f t="shared" si="2"/>
        <v>0</v>
      </c>
    </row>
    <row r="163" spans="4:8" ht="13.8">
      <c r="D163" s="1"/>
      <c r="E163" s="1" t="str">
        <f>IF(ISERROR(VLOOKUP(D163,Categorias!A:B,2,0)),"",VLOOKUP(D163,Categorias!A:B,2,0))</f>
        <v/>
      </c>
      <c r="F163" s="80"/>
      <c r="G163" s="5"/>
      <c r="H163" s="73">
        <f t="shared" si="2"/>
        <v>0</v>
      </c>
    </row>
    <row r="164" spans="4:8" ht="13.8">
      <c r="D164" s="1"/>
      <c r="E164" s="1" t="str">
        <f>IF(ISERROR(VLOOKUP(D164,Categorias!A:B,2,0)),"",VLOOKUP(D164,Categorias!A:B,2,0))</f>
        <v/>
      </c>
      <c r="F164" s="80"/>
      <c r="G164" s="5"/>
      <c r="H164" s="73">
        <f t="shared" si="2"/>
        <v>0</v>
      </c>
    </row>
    <row r="165" spans="4:8" ht="13.8">
      <c r="D165" s="1"/>
      <c r="E165" s="1" t="str">
        <f>IF(ISERROR(VLOOKUP(D165,Categorias!A:B,2,0)),"",VLOOKUP(D165,Categorias!A:B,2,0))</f>
        <v/>
      </c>
      <c r="F165" s="80"/>
      <c r="G165" s="5"/>
      <c r="H165" s="73">
        <f t="shared" si="2"/>
        <v>0</v>
      </c>
    </row>
    <row r="166" spans="4:8" ht="13.8">
      <c r="D166" s="1"/>
      <c r="E166" s="1" t="str">
        <f>IF(ISERROR(VLOOKUP(D166,Categorias!A:B,2,0)),"",VLOOKUP(D166,Categorias!A:B,2,0))</f>
        <v/>
      </c>
      <c r="F166" s="80"/>
      <c r="G166" s="5"/>
      <c r="H166" s="73">
        <f t="shared" si="2"/>
        <v>0</v>
      </c>
    </row>
    <row r="167" spans="4:8" ht="13.8">
      <c r="D167" s="1"/>
      <c r="E167" s="1" t="str">
        <f>IF(ISERROR(VLOOKUP(D167,Categorias!A:B,2,0)),"",VLOOKUP(D167,Categorias!A:B,2,0))</f>
        <v/>
      </c>
      <c r="F167" s="80"/>
      <c r="G167" s="5"/>
      <c r="H167" s="73">
        <f t="shared" si="2"/>
        <v>0</v>
      </c>
    </row>
    <row r="168" spans="4:8" ht="13.8">
      <c r="D168" s="1"/>
      <c r="E168" s="1" t="str">
        <f>IF(ISERROR(VLOOKUP(D168,Categorias!A:B,2,0)),"",VLOOKUP(D168,Categorias!A:B,2,0))</f>
        <v/>
      </c>
      <c r="F168" s="80"/>
      <c r="G168" s="5"/>
      <c r="H168" s="73">
        <f t="shared" si="2"/>
        <v>0</v>
      </c>
    </row>
    <row r="169" spans="4:8" ht="13.8">
      <c r="D169" s="1"/>
      <c r="E169" s="1" t="str">
        <f>IF(ISERROR(VLOOKUP(D169,Categorias!A:B,2,0)),"",VLOOKUP(D169,Categorias!A:B,2,0))</f>
        <v/>
      </c>
      <c r="F169" s="80"/>
      <c r="G169" s="5"/>
      <c r="H169" s="73">
        <f t="shared" si="2"/>
        <v>0</v>
      </c>
    </row>
    <row r="170" spans="4:8" ht="13.8">
      <c r="D170" s="1"/>
      <c r="E170" s="1" t="str">
        <f>IF(ISERROR(VLOOKUP(D170,Categorias!A:B,2,0)),"",VLOOKUP(D170,Categorias!A:B,2,0))</f>
        <v/>
      </c>
      <c r="F170" s="80"/>
      <c r="G170" s="5"/>
      <c r="H170" s="73">
        <f t="shared" si="2"/>
        <v>0</v>
      </c>
    </row>
    <row r="171" spans="4:8" ht="13.8">
      <c r="D171" s="1"/>
      <c r="E171" s="1" t="str">
        <f>IF(ISERROR(VLOOKUP(D171,Categorias!A:B,2,0)),"",VLOOKUP(D171,Categorias!A:B,2,0))</f>
        <v/>
      </c>
      <c r="F171" s="80"/>
      <c r="G171" s="5"/>
      <c r="H171" s="73">
        <f t="shared" si="2"/>
        <v>0</v>
      </c>
    </row>
    <row r="172" spans="4:8" ht="13.8">
      <c r="D172" s="1"/>
      <c r="E172" s="1" t="str">
        <f>IF(ISERROR(VLOOKUP(D172,Categorias!A:B,2,0)),"",VLOOKUP(D172,Categorias!A:B,2,0))</f>
        <v/>
      </c>
      <c r="F172" s="80"/>
      <c r="G172" s="5"/>
      <c r="H172" s="73">
        <f t="shared" si="2"/>
        <v>0</v>
      </c>
    </row>
    <row r="173" spans="4:8" ht="13.8">
      <c r="D173" s="1"/>
      <c r="E173" s="1" t="str">
        <f>IF(ISERROR(VLOOKUP(D173,Categorias!A:B,2,0)),"",VLOOKUP(D173,Categorias!A:B,2,0))</f>
        <v/>
      </c>
      <c r="F173" s="80"/>
      <c r="G173" s="5"/>
      <c r="H173" s="73">
        <f t="shared" si="2"/>
        <v>0</v>
      </c>
    </row>
    <row r="174" spans="4:8" ht="13.8">
      <c r="D174" s="1"/>
      <c r="E174" s="1" t="str">
        <f>IF(ISERROR(VLOOKUP(D174,Categorias!A:B,2,0)),"",VLOOKUP(D174,Categorias!A:B,2,0))</f>
        <v/>
      </c>
      <c r="F174" s="80"/>
      <c r="G174" s="5"/>
      <c r="H174" s="73">
        <f t="shared" si="2"/>
        <v>0</v>
      </c>
    </row>
    <row r="175" spans="4:8" ht="13.8">
      <c r="D175" s="1"/>
      <c r="E175" s="1" t="str">
        <f>IF(ISERROR(VLOOKUP(D175,Categorias!A:B,2,0)),"",VLOOKUP(D175,Categorias!A:B,2,0))</f>
        <v/>
      </c>
      <c r="F175" s="80"/>
      <c r="G175" s="5"/>
      <c r="H175" s="73">
        <f t="shared" si="2"/>
        <v>0</v>
      </c>
    </row>
    <row r="176" spans="4:8" ht="13.8">
      <c r="D176" s="1"/>
      <c r="E176" s="1" t="str">
        <f>IF(ISERROR(VLOOKUP(D176,Categorias!A:B,2,0)),"",VLOOKUP(D176,Categorias!A:B,2,0))</f>
        <v/>
      </c>
      <c r="F176" s="80"/>
      <c r="G176" s="5"/>
      <c r="H176" s="73">
        <f t="shared" si="2"/>
        <v>0</v>
      </c>
    </row>
    <row r="177" spans="4:8" ht="13.8">
      <c r="D177" s="1"/>
      <c r="E177" s="1" t="str">
        <f>IF(ISERROR(VLOOKUP(D177,Categorias!A:B,2,0)),"",VLOOKUP(D177,Categorias!A:B,2,0))</f>
        <v/>
      </c>
      <c r="F177" s="80"/>
      <c r="G177" s="5"/>
      <c r="H177" s="73">
        <f t="shared" si="2"/>
        <v>0</v>
      </c>
    </row>
    <row r="178" spans="4:8" ht="13.8">
      <c r="D178" s="1"/>
      <c r="E178" s="1" t="str">
        <f>IF(ISERROR(VLOOKUP(D178,Categorias!A:B,2,0)),"",VLOOKUP(D178,Categorias!A:B,2,0))</f>
        <v/>
      </c>
      <c r="F178" s="80"/>
      <c r="G178" s="5"/>
      <c r="H178" s="73">
        <f t="shared" si="2"/>
        <v>0</v>
      </c>
    </row>
    <row r="179" spans="4:8" ht="13.8">
      <c r="D179" s="1"/>
      <c r="E179" s="1" t="str">
        <f>IF(ISERROR(VLOOKUP(D179,Categorias!A:B,2,0)),"",VLOOKUP(D179,Categorias!A:B,2,0))</f>
        <v/>
      </c>
      <c r="F179" s="80"/>
      <c r="G179" s="5"/>
      <c r="H179" s="73">
        <f t="shared" si="2"/>
        <v>0</v>
      </c>
    </row>
    <row r="180" spans="4:8" ht="13.8">
      <c r="D180" s="1"/>
      <c r="E180" s="1" t="str">
        <f>IF(ISERROR(VLOOKUP(D180,Categorias!A:B,2,0)),"",VLOOKUP(D180,Categorias!A:B,2,0))</f>
        <v/>
      </c>
      <c r="F180" s="80"/>
      <c r="G180" s="5"/>
      <c r="H180" s="73">
        <f t="shared" si="2"/>
        <v>0</v>
      </c>
    </row>
    <row r="181" spans="4:8" ht="13.8">
      <c r="D181" s="1"/>
      <c r="E181" s="1" t="str">
        <f>IF(ISERROR(VLOOKUP(D181,Categorias!A:B,2,0)),"",VLOOKUP(D181,Categorias!A:B,2,0))</f>
        <v/>
      </c>
      <c r="F181" s="80"/>
      <c r="G181" s="5"/>
      <c r="H181" s="73">
        <f t="shared" si="2"/>
        <v>0</v>
      </c>
    </row>
    <row r="182" spans="4:8" ht="13.8">
      <c r="D182" s="1"/>
      <c r="E182" s="1" t="str">
        <f>IF(ISERROR(VLOOKUP(D182,Categorias!A:B,2,0)),"",VLOOKUP(D182,Categorias!A:B,2,0))</f>
        <v/>
      </c>
      <c r="F182" s="80"/>
      <c r="G182" s="5"/>
      <c r="H182" s="73">
        <f t="shared" si="2"/>
        <v>0</v>
      </c>
    </row>
    <row r="183" spans="4:8" ht="13.8">
      <c r="D183" s="1"/>
      <c r="E183" s="1" t="str">
        <f>IF(ISERROR(VLOOKUP(D183,Categorias!A:B,2,0)),"",VLOOKUP(D183,Categorias!A:B,2,0))</f>
        <v/>
      </c>
      <c r="F183" s="80"/>
      <c r="G183" s="5"/>
      <c r="H183" s="73">
        <f t="shared" si="2"/>
        <v>0</v>
      </c>
    </row>
    <row r="184" spans="4:8" ht="13.8">
      <c r="D184" s="1"/>
      <c r="E184" s="1" t="str">
        <f>IF(ISERROR(VLOOKUP(D184,Categorias!A:B,2,0)),"",VLOOKUP(D184,Categorias!A:B,2,0))</f>
        <v/>
      </c>
      <c r="F184" s="80"/>
      <c r="G184" s="5"/>
      <c r="H184" s="73">
        <f t="shared" si="2"/>
        <v>0</v>
      </c>
    </row>
    <row r="185" spans="4:8" ht="13.8">
      <c r="D185" s="1"/>
      <c r="E185" s="1" t="str">
        <f>IF(ISERROR(VLOOKUP(D185,Categorias!A:B,2,0)),"",VLOOKUP(D185,Categorias!A:B,2,0))</f>
        <v/>
      </c>
      <c r="F185" s="80"/>
      <c r="G185" s="5"/>
      <c r="H185" s="73">
        <f t="shared" si="2"/>
        <v>0</v>
      </c>
    </row>
    <row r="186" spans="4:8" ht="13.8">
      <c r="D186" s="1"/>
      <c r="E186" s="1" t="str">
        <f>IF(ISERROR(VLOOKUP(D186,Categorias!A:B,2,0)),"",VLOOKUP(D186,Categorias!A:B,2,0))</f>
        <v/>
      </c>
      <c r="F186" s="80"/>
      <c r="G186" s="5"/>
      <c r="H186" s="73">
        <f t="shared" si="2"/>
        <v>0</v>
      </c>
    </row>
    <row r="187" spans="4:8" ht="13.8">
      <c r="D187" s="1"/>
      <c r="E187" s="1" t="str">
        <f>IF(ISERROR(VLOOKUP(D187,Categorias!A:B,2,0)),"",VLOOKUP(D187,Categorias!A:B,2,0))</f>
        <v/>
      </c>
      <c r="F187" s="80"/>
      <c r="G187" s="5"/>
      <c r="H187" s="73">
        <f t="shared" si="2"/>
        <v>0</v>
      </c>
    </row>
    <row r="188" spans="4:8" ht="13.8">
      <c r="D188" s="1"/>
      <c r="E188" s="1" t="str">
        <f>IF(ISERROR(VLOOKUP(D188,Categorias!A:B,2,0)),"",VLOOKUP(D188,Categorias!A:B,2,0))</f>
        <v/>
      </c>
      <c r="F188" s="80"/>
      <c r="G188" s="5"/>
      <c r="H188" s="73">
        <f t="shared" si="2"/>
        <v>0</v>
      </c>
    </row>
    <row r="189" spans="4:8" ht="13.8">
      <c r="D189" s="1"/>
      <c r="E189" s="1" t="str">
        <f>IF(ISERROR(VLOOKUP(D189,Categorias!A:B,2,0)),"",VLOOKUP(D189,Categorias!A:B,2,0))</f>
        <v/>
      </c>
      <c r="F189" s="80"/>
      <c r="G189" s="5"/>
      <c r="H189" s="73">
        <f t="shared" si="2"/>
        <v>0</v>
      </c>
    </row>
    <row r="190" spans="4:8" ht="13.8">
      <c r="D190" s="1"/>
      <c r="E190" s="1" t="str">
        <f>IF(ISERROR(VLOOKUP(D190,Categorias!A:B,2,0)),"",VLOOKUP(D190,Categorias!A:B,2,0))</f>
        <v/>
      </c>
      <c r="F190" s="80"/>
      <c r="G190" s="5"/>
      <c r="H190" s="73">
        <f t="shared" si="2"/>
        <v>0</v>
      </c>
    </row>
    <row r="191" spans="4:8" ht="13.8">
      <c r="D191" s="1"/>
      <c r="E191" s="1" t="str">
        <f>IF(ISERROR(VLOOKUP(D191,Categorias!A:B,2,0)),"",VLOOKUP(D191,Categorias!A:B,2,0))</f>
        <v/>
      </c>
      <c r="F191" s="80"/>
      <c r="G191" s="5"/>
      <c r="H191" s="73">
        <f t="shared" si="2"/>
        <v>0</v>
      </c>
    </row>
    <row r="192" spans="4:8" ht="13.8">
      <c r="D192" s="1"/>
      <c r="E192" s="1" t="str">
        <f>IF(ISERROR(VLOOKUP(D192,Categorias!A:B,2,0)),"",VLOOKUP(D192,Categorias!A:B,2,0))</f>
        <v/>
      </c>
      <c r="F192" s="80"/>
      <c r="G192" s="5"/>
      <c r="H192" s="73">
        <f t="shared" si="2"/>
        <v>0</v>
      </c>
    </row>
    <row r="193" spans="4:8" ht="13.8">
      <c r="D193" s="1"/>
      <c r="E193" s="1" t="str">
        <f>IF(ISERROR(VLOOKUP(D193,Categorias!A:B,2,0)),"",VLOOKUP(D193,Categorias!A:B,2,0))</f>
        <v/>
      </c>
      <c r="F193" s="80"/>
      <c r="G193" s="5"/>
      <c r="H193" s="73">
        <f t="shared" si="2"/>
        <v>0</v>
      </c>
    </row>
    <row r="194" spans="4:8" ht="13.8">
      <c r="D194" s="1"/>
      <c r="E194" s="1" t="str">
        <f>IF(ISERROR(VLOOKUP(D194,Categorias!A:B,2,0)),"",VLOOKUP(D194,Categorias!A:B,2,0))</f>
        <v/>
      </c>
      <c r="F194" s="80"/>
      <c r="G194" s="5"/>
      <c r="H194" s="73">
        <f t="shared" si="2"/>
        <v>0</v>
      </c>
    </row>
    <row r="195" spans="4:8" ht="13.8">
      <c r="D195" s="1"/>
      <c r="E195" s="1" t="str">
        <f>IF(ISERROR(VLOOKUP(D195,Categorias!A:B,2,0)),"",VLOOKUP(D195,Categorias!A:B,2,0))</f>
        <v/>
      </c>
      <c r="F195" s="80"/>
      <c r="G195" s="5"/>
      <c r="H195" s="73">
        <f t="shared" si="2"/>
        <v>0</v>
      </c>
    </row>
    <row r="196" spans="4:8" ht="13.8">
      <c r="D196" s="1"/>
      <c r="E196" s="1" t="str">
        <f>IF(ISERROR(VLOOKUP(D196,Categorias!A:B,2,0)),"",VLOOKUP(D196,Categorias!A:B,2,0))</f>
        <v/>
      </c>
      <c r="F196" s="80"/>
      <c r="G196" s="5"/>
      <c r="H196" s="73">
        <f t="shared" si="2"/>
        <v>0</v>
      </c>
    </row>
    <row r="197" spans="4:8" ht="13.8">
      <c r="D197" s="1"/>
      <c r="E197" s="1" t="str">
        <f>IF(ISERROR(VLOOKUP(D197,Categorias!A:B,2,0)),"",VLOOKUP(D197,Categorias!A:B,2,0))</f>
        <v/>
      </c>
      <c r="F197" s="80"/>
      <c r="G197" s="5"/>
      <c r="H197" s="73">
        <f t="shared" si="2"/>
        <v>0</v>
      </c>
    </row>
    <row r="198" spans="4:8" ht="13.8">
      <c r="D198" s="1"/>
      <c r="E198" s="1" t="str">
        <f>IF(ISERROR(VLOOKUP(D198,Categorias!A:B,2,0)),"",VLOOKUP(D198,Categorias!A:B,2,0))</f>
        <v/>
      </c>
      <c r="F198" s="80"/>
      <c r="G198" s="5"/>
      <c r="H198" s="73">
        <f t="shared" si="2"/>
        <v>0</v>
      </c>
    </row>
    <row r="199" spans="4:8" ht="13.8">
      <c r="D199" s="1"/>
      <c r="E199" s="1" t="str">
        <f>IF(ISERROR(VLOOKUP(D199,Categorias!A:B,2,0)),"",VLOOKUP(D199,Categorias!A:B,2,0))</f>
        <v/>
      </c>
      <c r="F199" s="80"/>
      <c r="G199" s="5"/>
      <c r="H199" s="73">
        <f t="shared" si="2"/>
        <v>0</v>
      </c>
    </row>
    <row r="200" spans="4:8" ht="13.8">
      <c r="D200" s="1"/>
      <c r="E200" s="1" t="str">
        <f>IF(ISERROR(VLOOKUP(D200,Categorias!A:B,2,0)),"",VLOOKUP(D200,Categorias!A:B,2,0))</f>
        <v/>
      </c>
      <c r="F200" s="80"/>
      <c r="G200" s="5"/>
      <c r="H200" s="73">
        <f t="shared" si="2"/>
        <v>0</v>
      </c>
    </row>
    <row r="201" spans="4:8" ht="13.8">
      <c r="D201" s="1"/>
      <c r="E201" s="1" t="str">
        <f>IF(ISERROR(VLOOKUP(D201,Categorias!A:B,2,0)),"",VLOOKUP(D201,Categorias!A:B,2,0))</f>
        <v/>
      </c>
      <c r="F201" s="80"/>
      <c r="G201" s="5"/>
      <c r="H201" s="73">
        <f t="shared" si="2"/>
        <v>0</v>
      </c>
    </row>
    <row r="202" spans="4:8" ht="13.8">
      <c r="D202" s="1"/>
      <c r="E202" s="1" t="str">
        <f>IF(ISERROR(VLOOKUP(D202,Categorias!A:B,2,0)),"",VLOOKUP(D202,Categorias!A:B,2,0))</f>
        <v/>
      </c>
      <c r="F202" s="80"/>
      <c r="G202" s="5"/>
      <c r="H202" s="73">
        <f t="shared" si="2"/>
        <v>0</v>
      </c>
    </row>
    <row r="203" spans="4:8" ht="13.8">
      <c r="D203" s="1"/>
      <c r="E203" s="1" t="str">
        <f>IF(ISERROR(VLOOKUP(D203,Categorias!A:B,2,0)),"",VLOOKUP(D203,Categorias!A:B,2,0))</f>
        <v/>
      </c>
      <c r="F203" s="80"/>
      <c r="G203" s="5"/>
      <c r="H203" s="73">
        <f t="shared" si="2"/>
        <v>0</v>
      </c>
    </row>
    <row r="204" spans="4:8" ht="13.8">
      <c r="D204" s="1"/>
      <c r="E204" s="1" t="str">
        <f>IF(ISERROR(VLOOKUP(D204,Categorias!A:B,2,0)),"",VLOOKUP(D204,Categorias!A:B,2,0))</f>
        <v/>
      </c>
      <c r="F204" s="80"/>
      <c r="G204" s="5"/>
      <c r="H204" s="73">
        <f t="shared" si="2"/>
        <v>0</v>
      </c>
    </row>
    <row r="205" spans="4:8" ht="13.8">
      <c r="D205" s="1"/>
      <c r="E205" s="1" t="str">
        <f>IF(ISERROR(VLOOKUP(D205,Categorias!A:B,2,0)),"",VLOOKUP(D205,Categorias!A:B,2,0))</f>
        <v/>
      </c>
      <c r="F205" s="80"/>
      <c r="G205" s="5"/>
      <c r="H205" s="73">
        <f t="shared" si="2"/>
        <v>0</v>
      </c>
    </row>
    <row r="206" spans="4:8" ht="13.8">
      <c r="D206" s="1"/>
      <c r="E206" s="1" t="str">
        <f>IF(ISERROR(VLOOKUP(D206,Categorias!A:B,2,0)),"",VLOOKUP(D206,Categorias!A:B,2,0))</f>
        <v/>
      </c>
      <c r="F206" s="80"/>
      <c r="G206" s="5"/>
      <c r="H206" s="73">
        <f t="shared" ref="H206:H254" si="3">H205+F206-G206</f>
        <v>0</v>
      </c>
    </row>
    <row r="207" spans="4:8" ht="13.8">
      <c r="D207" s="1"/>
      <c r="E207" s="1" t="str">
        <f>IF(ISERROR(VLOOKUP(D207,Categorias!A:B,2,0)),"",VLOOKUP(D207,Categorias!A:B,2,0))</f>
        <v/>
      </c>
      <c r="F207" s="80"/>
      <c r="G207" s="5"/>
      <c r="H207" s="73">
        <f t="shared" si="3"/>
        <v>0</v>
      </c>
    </row>
    <row r="208" spans="4:8" ht="13.8">
      <c r="D208" s="1"/>
      <c r="E208" s="1" t="str">
        <f>IF(ISERROR(VLOOKUP(D208,Categorias!A:B,2,0)),"",VLOOKUP(D208,Categorias!A:B,2,0))</f>
        <v/>
      </c>
      <c r="F208" s="80"/>
      <c r="G208" s="5"/>
      <c r="H208" s="73">
        <f t="shared" si="3"/>
        <v>0</v>
      </c>
    </row>
    <row r="209" spans="4:8" ht="13.8">
      <c r="D209" s="1"/>
      <c r="E209" s="1" t="str">
        <f>IF(ISERROR(VLOOKUP(D209,Categorias!A:B,2,0)),"",VLOOKUP(D209,Categorias!A:B,2,0))</f>
        <v/>
      </c>
      <c r="F209" s="80"/>
      <c r="G209" s="5"/>
      <c r="H209" s="73">
        <f t="shared" si="3"/>
        <v>0</v>
      </c>
    </row>
    <row r="210" spans="4:8" ht="13.8">
      <c r="D210" s="1"/>
      <c r="E210" s="1" t="str">
        <f>IF(ISERROR(VLOOKUP(D210,Categorias!A:B,2,0)),"",VLOOKUP(D210,Categorias!A:B,2,0))</f>
        <v/>
      </c>
      <c r="F210" s="80"/>
      <c r="G210" s="5"/>
      <c r="H210" s="73">
        <f t="shared" si="3"/>
        <v>0</v>
      </c>
    </row>
    <row r="211" spans="4:8" ht="13.8">
      <c r="D211" s="1"/>
      <c r="E211" s="1" t="str">
        <f>IF(ISERROR(VLOOKUP(D211,Categorias!A:B,2,0)),"",VLOOKUP(D211,Categorias!A:B,2,0))</f>
        <v/>
      </c>
      <c r="F211" s="80"/>
      <c r="G211" s="5"/>
      <c r="H211" s="73">
        <f t="shared" si="3"/>
        <v>0</v>
      </c>
    </row>
    <row r="212" spans="4:8" ht="13.8">
      <c r="D212" s="1"/>
      <c r="E212" s="1" t="str">
        <f>IF(ISERROR(VLOOKUP(D212,Categorias!A:B,2,0)),"",VLOOKUP(D212,Categorias!A:B,2,0))</f>
        <v/>
      </c>
      <c r="F212" s="80"/>
      <c r="G212" s="5"/>
      <c r="H212" s="73">
        <f t="shared" si="3"/>
        <v>0</v>
      </c>
    </row>
    <row r="213" spans="4:8" ht="13.8">
      <c r="D213" s="1"/>
      <c r="E213" s="1" t="str">
        <f>IF(ISERROR(VLOOKUP(D213,Categorias!A:B,2,0)),"",VLOOKUP(D213,Categorias!A:B,2,0))</f>
        <v/>
      </c>
      <c r="F213" s="80"/>
      <c r="G213" s="5"/>
      <c r="H213" s="73">
        <f t="shared" si="3"/>
        <v>0</v>
      </c>
    </row>
    <row r="214" spans="4:8" ht="13.8">
      <c r="D214" s="1"/>
      <c r="E214" s="1" t="str">
        <f>IF(ISERROR(VLOOKUP(D214,Categorias!A:B,2,0)),"",VLOOKUP(D214,Categorias!A:B,2,0))</f>
        <v/>
      </c>
      <c r="F214" s="80"/>
      <c r="G214" s="5"/>
      <c r="H214" s="73">
        <f t="shared" si="3"/>
        <v>0</v>
      </c>
    </row>
    <row r="215" spans="4:8" ht="13.8">
      <c r="D215" s="1"/>
      <c r="E215" s="1" t="str">
        <f>IF(ISERROR(VLOOKUP(D215,Categorias!A:B,2,0)),"",VLOOKUP(D215,Categorias!A:B,2,0))</f>
        <v/>
      </c>
      <c r="F215" s="80"/>
      <c r="G215" s="5"/>
      <c r="H215" s="73">
        <f t="shared" si="3"/>
        <v>0</v>
      </c>
    </row>
    <row r="216" spans="4:8" ht="13.8">
      <c r="D216" s="1"/>
      <c r="E216" s="1" t="str">
        <f>IF(ISERROR(VLOOKUP(D216,Categorias!A:B,2,0)),"",VLOOKUP(D216,Categorias!A:B,2,0))</f>
        <v/>
      </c>
      <c r="F216" s="80"/>
      <c r="G216" s="5"/>
      <c r="H216" s="73">
        <f t="shared" si="3"/>
        <v>0</v>
      </c>
    </row>
    <row r="217" spans="4:8" ht="13.8">
      <c r="D217" s="1"/>
      <c r="E217" s="1" t="str">
        <f>IF(ISERROR(VLOOKUP(D217,Categorias!A:B,2,0)),"",VLOOKUP(D217,Categorias!A:B,2,0))</f>
        <v/>
      </c>
      <c r="F217" s="80"/>
      <c r="G217" s="5"/>
      <c r="H217" s="73">
        <f t="shared" si="3"/>
        <v>0</v>
      </c>
    </row>
    <row r="218" spans="4:8" ht="13.8">
      <c r="D218" s="1"/>
      <c r="E218" s="1" t="str">
        <f>IF(ISERROR(VLOOKUP(D218,Categorias!A:B,2,0)),"",VLOOKUP(D218,Categorias!A:B,2,0))</f>
        <v/>
      </c>
      <c r="F218" s="80"/>
      <c r="G218" s="5"/>
      <c r="H218" s="73">
        <f t="shared" si="3"/>
        <v>0</v>
      </c>
    </row>
    <row r="219" spans="4:8" ht="13.8">
      <c r="D219" s="1"/>
      <c r="E219" s="1" t="str">
        <f>IF(ISERROR(VLOOKUP(D219,Categorias!A:B,2,0)),"",VLOOKUP(D219,Categorias!A:B,2,0))</f>
        <v/>
      </c>
      <c r="F219" s="80"/>
      <c r="G219" s="5"/>
      <c r="H219" s="73">
        <f t="shared" si="3"/>
        <v>0</v>
      </c>
    </row>
    <row r="220" spans="4:8" ht="13.8">
      <c r="D220" s="1"/>
      <c r="E220" s="1" t="str">
        <f>IF(ISERROR(VLOOKUP(D220,Categorias!A:B,2,0)),"",VLOOKUP(D220,Categorias!A:B,2,0))</f>
        <v/>
      </c>
      <c r="F220" s="80"/>
      <c r="G220" s="5"/>
      <c r="H220" s="73">
        <f t="shared" si="3"/>
        <v>0</v>
      </c>
    </row>
    <row r="221" spans="4:8" ht="13.8">
      <c r="D221" s="1"/>
      <c r="E221" s="1" t="str">
        <f>IF(ISERROR(VLOOKUP(D221,Categorias!A:B,2,0)),"",VLOOKUP(D221,Categorias!A:B,2,0))</f>
        <v/>
      </c>
      <c r="F221" s="80"/>
      <c r="G221" s="5"/>
      <c r="H221" s="73">
        <f t="shared" si="3"/>
        <v>0</v>
      </c>
    </row>
    <row r="222" spans="4:8" ht="13.8">
      <c r="D222" s="1"/>
      <c r="E222" s="1" t="str">
        <f>IF(ISERROR(VLOOKUP(D222,Categorias!A:B,2,0)),"",VLOOKUP(D222,Categorias!A:B,2,0))</f>
        <v/>
      </c>
      <c r="F222" s="80"/>
      <c r="G222" s="5"/>
      <c r="H222" s="73">
        <f t="shared" si="3"/>
        <v>0</v>
      </c>
    </row>
    <row r="223" spans="4:8" ht="13.8">
      <c r="D223" s="1"/>
      <c r="E223" s="1" t="str">
        <f>IF(ISERROR(VLOOKUP(D223,Categorias!A:B,2,0)),"",VLOOKUP(D223,Categorias!A:B,2,0))</f>
        <v/>
      </c>
      <c r="F223" s="80"/>
      <c r="G223" s="5"/>
      <c r="H223" s="73">
        <f t="shared" si="3"/>
        <v>0</v>
      </c>
    </row>
    <row r="224" spans="4:8" ht="13.8">
      <c r="D224" s="1"/>
      <c r="E224" s="1" t="str">
        <f>IF(ISERROR(VLOOKUP(D224,Categorias!A:B,2,0)),"",VLOOKUP(D224,Categorias!A:B,2,0))</f>
        <v/>
      </c>
      <c r="F224" s="80"/>
      <c r="G224" s="5"/>
      <c r="H224" s="73">
        <f t="shared" si="3"/>
        <v>0</v>
      </c>
    </row>
    <row r="225" spans="4:8" ht="13.8">
      <c r="D225" s="1"/>
      <c r="E225" s="1" t="str">
        <f>IF(ISERROR(VLOOKUP(D225,Categorias!A:B,2,0)),"",VLOOKUP(D225,Categorias!A:B,2,0))</f>
        <v/>
      </c>
      <c r="F225" s="80"/>
      <c r="G225" s="5"/>
      <c r="H225" s="73">
        <f t="shared" si="3"/>
        <v>0</v>
      </c>
    </row>
    <row r="226" spans="4:8" ht="13.8">
      <c r="D226" s="1"/>
      <c r="E226" s="1" t="str">
        <f>IF(ISERROR(VLOOKUP(D226,Categorias!A:B,2,0)),"",VLOOKUP(D226,Categorias!A:B,2,0))</f>
        <v/>
      </c>
      <c r="F226" s="80"/>
      <c r="G226" s="5"/>
      <c r="H226" s="73">
        <f t="shared" si="3"/>
        <v>0</v>
      </c>
    </row>
    <row r="227" spans="4:8" ht="13.8">
      <c r="D227" s="1"/>
      <c r="E227" s="1" t="str">
        <f>IF(ISERROR(VLOOKUP(D227,Categorias!A:B,2,0)),"",VLOOKUP(D227,Categorias!A:B,2,0))</f>
        <v/>
      </c>
      <c r="F227" s="80"/>
      <c r="G227" s="5"/>
      <c r="H227" s="73">
        <f t="shared" si="3"/>
        <v>0</v>
      </c>
    </row>
    <row r="228" spans="4:8" ht="13.8">
      <c r="D228" s="1"/>
      <c r="E228" s="1" t="str">
        <f>IF(ISERROR(VLOOKUP(D228,Categorias!A:B,2,0)),"",VLOOKUP(D228,Categorias!A:B,2,0))</f>
        <v/>
      </c>
      <c r="F228" s="80"/>
      <c r="G228" s="5"/>
      <c r="H228" s="73">
        <f t="shared" si="3"/>
        <v>0</v>
      </c>
    </row>
    <row r="229" spans="4:8" ht="13.8">
      <c r="D229" s="1"/>
      <c r="E229" s="1" t="str">
        <f>IF(ISERROR(VLOOKUP(D229,Categorias!A:B,2,0)),"",VLOOKUP(D229,Categorias!A:B,2,0))</f>
        <v/>
      </c>
      <c r="F229" s="80"/>
      <c r="G229" s="5"/>
      <c r="H229" s="73">
        <f t="shared" si="3"/>
        <v>0</v>
      </c>
    </row>
    <row r="230" spans="4:8" ht="13.8">
      <c r="D230" s="1"/>
      <c r="E230" s="1" t="str">
        <f>IF(ISERROR(VLOOKUP(D230,Categorias!A:B,2,0)),"",VLOOKUP(D230,Categorias!A:B,2,0))</f>
        <v/>
      </c>
      <c r="F230" s="80"/>
      <c r="G230" s="5"/>
      <c r="H230" s="73">
        <f t="shared" si="3"/>
        <v>0</v>
      </c>
    </row>
    <row r="231" spans="4:8" ht="13.8">
      <c r="D231" s="1"/>
      <c r="E231" s="1" t="str">
        <f>IF(ISERROR(VLOOKUP(D231,Categorias!A:B,2,0)),"",VLOOKUP(D231,Categorias!A:B,2,0))</f>
        <v/>
      </c>
      <c r="F231" s="80"/>
      <c r="G231" s="5"/>
      <c r="H231" s="73">
        <f t="shared" si="3"/>
        <v>0</v>
      </c>
    </row>
    <row r="232" spans="4:8" ht="13.8">
      <c r="D232" s="1"/>
      <c r="E232" s="1" t="str">
        <f>IF(ISERROR(VLOOKUP(D232,Categorias!A:B,2,0)),"",VLOOKUP(D232,Categorias!A:B,2,0))</f>
        <v/>
      </c>
      <c r="F232" s="80"/>
      <c r="G232" s="5"/>
      <c r="H232" s="73">
        <f t="shared" si="3"/>
        <v>0</v>
      </c>
    </row>
    <row r="233" spans="4:8" ht="13.8">
      <c r="D233" s="1"/>
      <c r="E233" s="1" t="str">
        <f>IF(ISERROR(VLOOKUP(D233,Categorias!A:B,2,0)),"",VLOOKUP(D233,Categorias!A:B,2,0))</f>
        <v/>
      </c>
      <c r="F233" s="80"/>
      <c r="G233" s="5"/>
      <c r="H233" s="73">
        <f t="shared" si="3"/>
        <v>0</v>
      </c>
    </row>
    <row r="234" spans="4:8" ht="13.8">
      <c r="D234" s="1"/>
      <c r="E234" s="1" t="str">
        <f>IF(ISERROR(VLOOKUP(D234,Categorias!A:B,2,0)),"",VLOOKUP(D234,Categorias!A:B,2,0))</f>
        <v/>
      </c>
      <c r="F234" s="80"/>
      <c r="G234" s="5"/>
      <c r="H234" s="73">
        <f t="shared" si="3"/>
        <v>0</v>
      </c>
    </row>
    <row r="235" spans="4:8" ht="13.8">
      <c r="D235" s="1"/>
      <c r="E235" s="1" t="str">
        <f>IF(ISERROR(VLOOKUP(D235,Categorias!A:B,2,0)),"",VLOOKUP(D235,Categorias!A:B,2,0))</f>
        <v/>
      </c>
      <c r="F235" s="80"/>
      <c r="G235" s="5"/>
      <c r="H235" s="73">
        <f t="shared" si="3"/>
        <v>0</v>
      </c>
    </row>
    <row r="236" spans="4:8" ht="13.8">
      <c r="D236" s="1"/>
      <c r="E236" s="1" t="str">
        <f>IF(ISERROR(VLOOKUP(D236,Categorias!A:B,2,0)),"",VLOOKUP(D236,Categorias!A:B,2,0))</f>
        <v/>
      </c>
      <c r="F236" s="80"/>
      <c r="G236" s="5"/>
      <c r="H236" s="73">
        <f t="shared" si="3"/>
        <v>0</v>
      </c>
    </row>
    <row r="237" spans="4:8" ht="13.8">
      <c r="D237" s="1"/>
      <c r="E237" s="1" t="str">
        <f>IF(ISERROR(VLOOKUP(D237,Categorias!A:B,2,0)),"",VLOOKUP(D237,Categorias!A:B,2,0))</f>
        <v/>
      </c>
      <c r="F237" s="80"/>
      <c r="G237" s="5"/>
      <c r="H237" s="73">
        <f t="shared" si="3"/>
        <v>0</v>
      </c>
    </row>
    <row r="238" spans="4:8" ht="13.8">
      <c r="D238" s="1"/>
      <c r="E238" s="1" t="str">
        <f>IF(ISERROR(VLOOKUP(D238,Categorias!A:B,2,0)),"",VLOOKUP(D238,Categorias!A:B,2,0))</f>
        <v/>
      </c>
      <c r="F238" s="80"/>
      <c r="G238" s="5"/>
      <c r="H238" s="73">
        <f t="shared" si="3"/>
        <v>0</v>
      </c>
    </row>
    <row r="239" spans="4:8" ht="13.8">
      <c r="D239" s="1"/>
      <c r="E239" s="1" t="str">
        <f>IF(ISERROR(VLOOKUP(D239,Categorias!A:B,2,0)),"",VLOOKUP(D239,Categorias!A:B,2,0))</f>
        <v/>
      </c>
      <c r="F239" s="80"/>
      <c r="G239" s="5"/>
      <c r="H239" s="73">
        <f t="shared" si="3"/>
        <v>0</v>
      </c>
    </row>
    <row r="240" spans="4:8" ht="13.8">
      <c r="D240" s="1"/>
      <c r="E240" s="1" t="str">
        <f>IF(ISERROR(VLOOKUP(D240,Categorias!A:B,2,0)),"",VLOOKUP(D240,Categorias!A:B,2,0))</f>
        <v/>
      </c>
      <c r="F240" s="80"/>
      <c r="G240" s="5"/>
      <c r="H240" s="73">
        <f t="shared" si="3"/>
        <v>0</v>
      </c>
    </row>
    <row r="241" spans="4:8" ht="13.8">
      <c r="D241" s="1"/>
      <c r="E241" s="1" t="str">
        <f>IF(ISERROR(VLOOKUP(D241,Categorias!A:B,2,0)),"",VLOOKUP(D241,Categorias!A:B,2,0))</f>
        <v/>
      </c>
      <c r="F241" s="80"/>
      <c r="G241" s="5"/>
      <c r="H241" s="73">
        <f t="shared" si="3"/>
        <v>0</v>
      </c>
    </row>
    <row r="242" spans="4:8" ht="13.8">
      <c r="D242" s="1"/>
      <c r="E242" s="1" t="str">
        <f>IF(ISERROR(VLOOKUP(D242,Categorias!A:B,2,0)),"",VLOOKUP(D242,Categorias!A:B,2,0))</f>
        <v/>
      </c>
      <c r="F242" s="80"/>
      <c r="G242" s="5"/>
      <c r="H242" s="73">
        <f t="shared" si="3"/>
        <v>0</v>
      </c>
    </row>
    <row r="243" spans="4:8" ht="13.8">
      <c r="D243" s="1"/>
      <c r="E243" s="1" t="str">
        <f>IF(ISERROR(VLOOKUP(D243,Categorias!A:B,2,0)),"",VLOOKUP(D243,Categorias!A:B,2,0))</f>
        <v/>
      </c>
      <c r="F243" s="80"/>
      <c r="G243" s="5"/>
      <c r="H243" s="73">
        <f t="shared" si="3"/>
        <v>0</v>
      </c>
    </row>
    <row r="244" spans="4:8" ht="13.8">
      <c r="D244" s="1"/>
      <c r="E244" s="1" t="str">
        <f>IF(ISERROR(VLOOKUP(D244,Categorias!A:B,2,0)),"",VLOOKUP(D244,Categorias!A:B,2,0))</f>
        <v/>
      </c>
      <c r="F244" s="80"/>
      <c r="G244" s="5"/>
      <c r="H244" s="73">
        <f t="shared" si="3"/>
        <v>0</v>
      </c>
    </row>
    <row r="245" spans="4:8" ht="13.8">
      <c r="D245" s="1"/>
      <c r="E245" s="1" t="str">
        <f>IF(ISERROR(VLOOKUP(D245,Categorias!A:B,2,0)),"",VLOOKUP(D245,Categorias!A:B,2,0))</f>
        <v/>
      </c>
      <c r="F245" s="80"/>
      <c r="G245" s="5"/>
      <c r="H245" s="73">
        <f t="shared" si="3"/>
        <v>0</v>
      </c>
    </row>
    <row r="246" spans="4:8" ht="13.8">
      <c r="D246" s="1"/>
      <c r="E246" s="1" t="str">
        <f>IF(ISERROR(VLOOKUP(D246,Categorias!A:B,2,0)),"",VLOOKUP(D246,Categorias!A:B,2,0))</f>
        <v/>
      </c>
      <c r="F246" s="80"/>
      <c r="G246" s="5"/>
      <c r="H246" s="73">
        <f t="shared" si="3"/>
        <v>0</v>
      </c>
    </row>
    <row r="247" spans="4:8" ht="13.8">
      <c r="D247" s="1"/>
      <c r="E247" s="1" t="str">
        <f>IF(ISERROR(VLOOKUP(D247,Categorias!A:B,2,0)),"",VLOOKUP(D247,Categorias!A:B,2,0))</f>
        <v/>
      </c>
      <c r="F247" s="80"/>
      <c r="G247" s="5"/>
      <c r="H247" s="73">
        <f t="shared" si="3"/>
        <v>0</v>
      </c>
    </row>
    <row r="248" spans="4:8" ht="13.8">
      <c r="D248" s="1"/>
      <c r="E248" s="1" t="str">
        <f>IF(ISERROR(VLOOKUP(D248,Categorias!A:B,2,0)),"",VLOOKUP(D248,Categorias!A:B,2,0))</f>
        <v/>
      </c>
      <c r="F248" s="80"/>
      <c r="G248" s="5"/>
      <c r="H248" s="73">
        <f t="shared" si="3"/>
        <v>0</v>
      </c>
    </row>
    <row r="249" spans="4:8" ht="13.8">
      <c r="D249" s="1"/>
      <c r="E249" s="1" t="str">
        <f>IF(ISERROR(VLOOKUP(D249,Categorias!A:B,2,0)),"",VLOOKUP(D249,Categorias!A:B,2,0))</f>
        <v/>
      </c>
      <c r="F249" s="80"/>
      <c r="G249" s="5"/>
      <c r="H249" s="73">
        <f t="shared" si="3"/>
        <v>0</v>
      </c>
    </row>
    <row r="250" spans="4:8" ht="13.8">
      <c r="D250" s="1"/>
      <c r="E250" s="1" t="str">
        <f>IF(ISERROR(VLOOKUP(D250,Categorias!A:B,2,0)),"",VLOOKUP(D250,Categorias!A:B,2,0))</f>
        <v/>
      </c>
      <c r="F250" s="80"/>
      <c r="G250" s="5"/>
      <c r="H250" s="73">
        <f t="shared" si="3"/>
        <v>0</v>
      </c>
    </row>
    <row r="251" spans="4:8" ht="13.8">
      <c r="D251" s="1"/>
      <c r="E251" s="1" t="str">
        <f>IF(ISERROR(VLOOKUP(D251,Categorias!A:B,2,0)),"",VLOOKUP(D251,Categorias!A:B,2,0))</f>
        <v/>
      </c>
      <c r="F251" s="80"/>
      <c r="G251" s="5"/>
      <c r="H251" s="73">
        <f t="shared" si="3"/>
        <v>0</v>
      </c>
    </row>
    <row r="252" spans="4:8" ht="13.8">
      <c r="D252" s="1"/>
      <c r="E252" s="1" t="str">
        <f>IF(ISERROR(VLOOKUP(D252,Categorias!A:B,2,0)),"",VLOOKUP(D252,Categorias!A:B,2,0))</f>
        <v/>
      </c>
      <c r="F252" s="80"/>
      <c r="G252" s="5"/>
      <c r="H252" s="73">
        <f t="shared" si="3"/>
        <v>0</v>
      </c>
    </row>
    <row r="253" spans="4:8" ht="13.8">
      <c r="D253" s="1"/>
      <c r="E253" s="1" t="str">
        <f>IF(ISERROR(VLOOKUP(D253,Categorias!A:B,2,0)),"",VLOOKUP(D253,Categorias!A:B,2,0))</f>
        <v/>
      </c>
      <c r="F253" s="80"/>
      <c r="G253" s="5"/>
      <c r="H253" s="73">
        <f t="shared" si="3"/>
        <v>0</v>
      </c>
    </row>
    <row r="254" spans="4:8" ht="13.8">
      <c r="D254" s="1"/>
      <c r="E254" s="1" t="str">
        <f>IF(ISERROR(VLOOKUP(D254,Categorias!A:B,2,0)),"",VLOOKUP(D254,Categorias!A:B,2,0))</f>
        <v/>
      </c>
      <c r="F254" s="80"/>
      <c r="G254" s="5"/>
      <c r="H254" s="73">
        <f t="shared" si="3"/>
        <v>0</v>
      </c>
    </row>
    <row r="255" spans="4:8" ht="13.8">
      <c r="F255" s="81"/>
      <c r="G255" s="6"/>
      <c r="H255" s="60"/>
    </row>
    <row r="256" spans="4:8" ht="13.8">
      <c r="F256" s="81"/>
      <c r="G256" s="6"/>
      <c r="H256" s="60"/>
    </row>
    <row r="257" spans="6:8" ht="13.8">
      <c r="F257" s="81"/>
      <c r="G257" s="6"/>
      <c r="H257" s="60"/>
    </row>
    <row r="258" spans="6:8" ht="13.8">
      <c r="F258" s="81"/>
      <c r="G258" s="6"/>
      <c r="H258" s="60"/>
    </row>
    <row r="259" spans="6:8" ht="13.8">
      <c r="F259" s="81"/>
      <c r="G259" s="6"/>
      <c r="H259" s="60"/>
    </row>
    <row r="260" spans="6:8" ht="13.8">
      <c r="F260" s="81"/>
      <c r="G260" s="6"/>
      <c r="H260" s="60"/>
    </row>
    <row r="261" spans="6:8" ht="13.8">
      <c r="F261" s="81"/>
      <c r="G261" s="6"/>
      <c r="H261" s="60"/>
    </row>
    <row r="262" spans="6:8" ht="13.8">
      <c r="F262" s="81"/>
      <c r="G262" s="6"/>
      <c r="H262" s="60"/>
    </row>
    <row r="263" spans="6:8" ht="13.8">
      <c r="F263" s="81"/>
      <c r="G263" s="6"/>
      <c r="H263" s="60"/>
    </row>
    <row r="264" spans="6:8" ht="13.8">
      <c r="F264" s="81"/>
      <c r="G264" s="6"/>
      <c r="H264" s="60"/>
    </row>
    <row r="265" spans="6:8" ht="13.8">
      <c r="F265" s="81"/>
      <c r="G265" s="6"/>
      <c r="H265" s="60"/>
    </row>
    <row r="266" spans="6:8" ht="13.8">
      <c r="F266" s="81"/>
      <c r="G266" s="6"/>
      <c r="H266" s="60"/>
    </row>
    <row r="267" spans="6:8" ht="13.8">
      <c r="F267" s="81"/>
      <c r="G267" s="6"/>
      <c r="H267" s="60"/>
    </row>
    <row r="268" spans="6:8" ht="13.8">
      <c r="F268" s="81"/>
      <c r="G268" s="6"/>
      <c r="H268" s="60"/>
    </row>
    <row r="269" spans="6:8" ht="13.8">
      <c r="F269" s="81"/>
      <c r="G269" s="6"/>
      <c r="H269" s="60"/>
    </row>
    <row r="270" spans="6:8" ht="13.8">
      <c r="F270" s="81"/>
      <c r="G270" s="6"/>
      <c r="H270" s="60"/>
    </row>
    <row r="271" spans="6:8" ht="13.8">
      <c r="F271" s="81"/>
      <c r="G271" s="6"/>
      <c r="H271" s="60"/>
    </row>
    <row r="272" spans="6:8" ht="13.8">
      <c r="F272" s="81"/>
      <c r="G272" s="6"/>
      <c r="H272" s="60"/>
    </row>
    <row r="273" spans="6:8" ht="13.8">
      <c r="F273" s="81"/>
      <c r="G273" s="6"/>
      <c r="H273" s="60"/>
    </row>
    <row r="274" spans="6:8" ht="13.8">
      <c r="F274" s="81"/>
      <c r="G274" s="6"/>
      <c r="H274" s="60"/>
    </row>
    <row r="275" spans="6:8" ht="13.8">
      <c r="F275" s="81"/>
      <c r="G275" s="6"/>
      <c r="H275" s="60"/>
    </row>
    <row r="276" spans="6:8" ht="13.8">
      <c r="F276" s="81"/>
      <c r="G276" s="6"/>
      <c r="H276" s="60"/>
    </row>
    <row r="277" spans="6:8" ht="13.8">
      <c r="F277" s="81"/>
      <c r="G277" s="6"/>
      <c r="H277" s="60"/>
    </row>
    <row r="278" spans="6:8" ht="13.8">
      <c r="F278" s="81"/>
      <c r="G278" s="6"/>
      <c r="H278" s="60"/>
    </row>
    <row r="279" spans="6:8" ht="13.8">
      <c r="F279" s="81"/>
      <c r="G279" s="6"/>
      <c r="H279" s="60"/>
    </row>
    <row r="280" spans="6:8" ht="13.8">
      <c r="F280" s="81"/>
      <c r="G280" s="6"/>
      <c r="H280" s="60"/>
    </row>
    <row r="281" spans="6:8" ht="13.8">
      <c r="F281" s="81"/>
      <c r="G281" s="6"/>
      <c r="H281" s="60"/>
    </row>
    <row r="282" spans="6:8" ht="13.8">
      <c r="F282" s="81"/>
      <c r="G282" s="6"/>
      <c r="H282" s="60"/>
    </row>
    <row r="283" spans="6:8" ht="13.8">
      <c r="F283" s="81"/>
      <c r="G283" s="6"/>
      <c r="H283" s="60"/>
    </row>
    <row r="284" spans="6:8" ht="13.8">
      <c r="F284" s="81"/>
      <c r="G284" s="6"/>
      <c r="H284" s="60"/>
    </row>
    <row r="285" spans="6:8" ht="13.8">
      <c r="F285" s="81"/>
      <c r="G285" s="6"/>
      <c r="H285" s="60"/>
    </row>
    <row r="286" spans="6:8" ht="13.8">
      <c r="F286" s="81"/>
      <c r="G286" s="6"/>
      <c r="H286" s="60"/>
    </row>
    <row r="287" spans="6:8" ht="13.8">
      <c r="F287" s="81"/>
      <c r="G287" s="6"/>
      <c r="H287" s="60"/>
    </row>
    <row r="288" spans="6:8" ht="13.8">
      <c r="F288" s="81"/>
      <c r="G288" s="6"/>
      <c r="H288" s="60"/>
    </row>
    <row r="289" spans="6:8" ht="13.8">
      <c r="F289" s="81"/>
      <c r="G289" s="6"/>
      <c r="H289" s="60"/>
    </row>
    <row r="290" spans="6:8" ht="13.8">
      <c r="F290" s="81"/>
      <c r="G290" s="6"/>
      <c r="H290" s="60"/>
    </row>
    <row r="291" spans="6:8" ht="13.8">
      <c r="F291" s="81"/>
      <c r="G291" s="6"/>
      <c r="H291" s="60"/>
    </row>
    <row r="292" spans="6:8" ht="13.8">
      <c r="F292" s="81"/>
      <c r="G292" s="6"/>
      <c r="H292" s="60"/>
    </row>
    <row r="293" spans="6:8" ht="13.8">
      <c r="F293" s="81"/>
      <c r="G293" s="6"/>
      <c r="H293" s="60"/>
    </row>
    <row r="294" spans="6:8" ht="13.8">
      <c r="F294" s="81"/>
      <c r="G294" s="6"/>
      <c r="H294" s="60"/>
    </row>
    <row r="295" spans="6:8" ht="13.8">
      <c r="F295" s="81"/>
      <c r="G295" s="6"/>
      <c r="H295" s="60"/>
    </row>
    <row r="296" spans="6:8" ht="13.8">
      <c r="F296" s="81"/>
      <c r="G296" s="6"/>
      <c r="H296" s="60"/>
    </row>
    <row r="297" spans="6:8" ht="13.8">
      <c r="F297" s="81"/>
      <c r="G297" s="6"/>
      <c r="H297" s="60"/>
    </row>
    <row r="298" spans="6:8" ht="13.8">
      <c r="F298" s="81"/>
      <c r="G298" s="6"/>
      <c r="H298" s="60"/>
    </row>
    <row r="299" spans="6:8" ht="13.8">
      <c r="F299" s="81"/>
      <c r="G299" s="6"/>
      <c r="H299" s="60"/>
    </row>
    <row r="300" spans="6:8" ht="13.8">
      <c r="F300" s="81"/>
      <c r="G300" s="6"/>
      <c r="H300" s="60"/>
    </row>
    <row r="301" spans="6:8" ht="13.8">
      <c r="F301" s="81"/>
      <c r="G301" s="6"/>
      <c r="H301" s="60"/>
    </row>
    <row r="302" spans="6:8" ht="13.8">
      <c r="F302" s="81"/>
      <c r="G302" s="6"/>
      <c r="H302" s="60"/>
    </row>
    <row r="303" spans="6:8" ht="13.8">
      <c r="F303" s="81"/>
      <c r="G303" s="6"/>
      <c r="H303" s="60"/>
    </row>
    <row r="304" spans="6:8" ht="13.8">
      <c r="F304" s="81"/>
      <c r="G304" s="6"/>
      <c r="H304" s="60"/>
    </row>
    <row r="305" spans="6:8" ht="13.8">
      <c r="F305" s="81"/>
      <c r="G305" s="6"/>
      <c r="H305" s="60"/>
    </row>
    <row r="306" spans="6:8" ht="13.8">
      <c r="F306" s="81"/>
      <c r="G306" s="6"/>
      <c r="H306" s="60"/>
    </row>
    <row r="307" spans="6:8" ht="13.8">
      <c r="F307" s="81"/>
      <c r="G307" s="6"/>
      <c r="H307" s="60"/>
    </row>
    <row r="308" spans="6:8" ht="13.8">
      <c r="F308" s="81"/>
      <c r="G308" s="6"/>
      <c r="H308" s="60"/>
    </row>
    <row r="309" spans="6:8" ht="13.8">
      <c r="F309" s="81"/>
      <c r="G309" s="6"/>
      <c r="H309" s="60"/>
    </row>
    <row r="310" spans="6:8" ht="13.8">
      <c r="F310" s="81"/>
      <c r="G310" s="6"/>
      <c r="H310" s="60"/>
    </row>
    <row r="311" spans="6:8" ht="13.8">
      <c r="F311" s="81"/>
      <c r="G311" s="6"/>
      <c r="H311" s="60"/>
    </row>
    <row r="312" spans="6:8" ht="13.8">
      <c r="F312" s="81"/>
      <c r="G312" s="6"/>
      <c r="H312" s="60"/>
    </row>
    <row r="313" spans="6:8" ht="13.8">
      <c r="F313" s="81"/>
      <c r="G313" s="6"/>
      <c r="H313" s="60"/>
    </row>
    <row r="314" spans="6:8" ht="13.8">
      <c r="F314" s="81"/>
      <c r="G314" s="6"/>
      <c r="H314" s="60"/>
    </row>
    <row r="315" spans="6:8" ht="13.8">
      <c r="F315" s="81"/>
      <c r="G315" s="6"/>
      <c r="H315" s="60"/>
    </row>
    <row r="316" spans="6:8" ht="13.8">
      <c r="F316" s="81"/>
      <c r="G316" s="6"/>
      <c r="H316" s="60"/>
    </row>
    <row r="317" spans="6:8" ht="13.8">
      <c r="F317" s="81"/>
      <c r="G317" s="6"/>
      <c r="H317" s="60"/>
    </row>
    <row r="318" spans="6:8" ht="13.8">
      <c r="F318" s="81"/>
      <c r="G318" s="6"/>
      <c r="H318" s="60"/>
    </row>
    <row r="319" spans="6:8" ht="13.8">
      <c r="F319" s="81"/>
      <c r="G319" s="6"/>
      <c r="H319" s="60"/>
    </row>
    <row r="320" spans="6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  <row r="455" spans="6:8" ht="13.2"/>
    <row r="456" spans="6:8" ht="13.2"/>
    <row r="457" spans="6:8" ht="13.2"/>
    <row r="458" spans="6:8" ht="13.2"/>
    <row r="459" spans="6:8" ht="13.2"/>
    <row r="460" spans="6:8" ht="13.2"/>
    <row r="461" spans="6:8" ht="13.2"/>
    <row r="462" spans="6:8" ht="13.2"/>
    <row r="463" spans="6:8" ht="13.2"/>
    <row r="464" spans="6:8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</sheetData>
  <autoFilter ref="A5:G249" xr:uid="{00000000-0009-0000-0000-000002000000}"/>
  <mergeCells count="12">
    <mergeCell ref="B2:H5"/>
    <mergeCell ref="B7:D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D16B3F90-10F4-44A6-9E5E-77009E6408BB}">
          <x14:formula1>
            <xm:f>Categorias!$A:$A</xm:f>
          </x14:formula1>
          <xm:sqref>D13:D254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05B0-350B-4332-AAFB-AFEC3B644995}">
  <dimension ref="A1:H997"/>
  <sheetViews>
    <sheetView showGridLines="0" workbookViewId="0">
      <selection activeCell="G7" sqref="G7:H7"/>
    </sheetView>
  </sheetViews>
  <sheetFormatPr defaultColWidth="12.6640625" defaultRowHeight="15" customHeight="1"/>
  <cols>
    <col min="1" max="1" width="5.33203125" style="77" customWidth="1"/>
    <col min="2" max="2" width="13" style="76" bestFit="1" customWidth="1"/>
    <col min="3" max="3" width="33.33203125" style="7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8" s="8" customFormat="1" ht="4.5" customHeight="1">
      <c r="B1" s="76"/>
      <c r="C1" s="83"/>
      <c r="F1" s="85"/>
      <c r="G1" s="63"/>
    </row>
    <row r="2" spans="1:8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8" ht="12.75" customHeight="1">
      <c r="B3" s="137"/>
      <c r="C3" s="138"/>
      <c r="D3" s="138"/>
      <c r="E3" s="138"/>
      <c r="F3" s="138"/>
      <c r="G3" s="138"/>
      <c r="H3" s="138"/>
    </row>
    <row r="4" spans="1:8" ht="12.75" customHeight="1">
      <c r="B4" s="137"/>
      <c r="C4" s="138"/>
      <c r="D4" s="138"/>
      <c r="E4" s="138"/>
      <c r="F4" s="138"/>
      <c r="G4" s="138"/>
      <c r="H4" s="138"/>
    </row>
    <row r="5" spans="1:8" ht="12.75" customHeight="1">
      <c r="B5" s="139"/>
      <c r="C5" s="140"/>
      <c r="D5" s="140"/>
      <c r="E5" s="140"/>
      <c r="F5" s="140"/>
      <c r="G5" s="140"/>
      <c r="H5" s="140"/>
    </row>
    <row r="6" spans="1:8" s="8" customFormat="1" ht="3.75" customHeight="1">
      <c r="B6" s="76"/>
      <c r="C6" s="83"/>
      <c r="F6" s="85"/>
      <c r="G6" s="63"/>
    </row>
    <row r="7" spans="1:8" ht="21">
      <c r="A7" s="61"/>
      <c r="B7" s="149" t="s">
        <v>95</v>
      </c>
      <c r="C7" s="150"/>
      <c r="D7" s="150"/>
      <c r="E7" s="71"/>
      <c r="F7" s="71"/>
      <c r="G7" s="135">
        <f>D8+D9+D10+G8+G9+G10</f>
        <v>0</v>
      </c>
      <c r="H7" s="136"/>
    </row>
    <row r="8" spans="1:8" ht="15.6">
      <c r="A8" s="61"/>
      <c r="B8" s="148" t="s">
        <v>90</v>
      </c>
      <c r="C8" s="148"/>
      <c r="D8" s="65"/>
      <c r="E8" s="147" t="s">
        <v>93</v>
      </c>
      <c r="F8" s="148"/>
      <c r="G8" s="141"/>
      <c r="H8" s="142"/>
    </row>
    <row r="9" spans="1:8" ht="15.6">
      <c r="A9" s="61"/>
      <c r="B9" s="146" t="s">
        <v>91</v>
      </c>
      <c r="C9" s="146"/>
      <c r="D9" s="64"/>
      <c r="E9" s="145" t="s">
        <v>94</v>
      </c>
      <c r="F9" s="146"/>
      <c r="G9" s="143"/>
      <c r="H9" s="144"/>
    </row>
    <row r="10" spans="1:8" s="8" customFormat="1" ht="15.6">
      <c r="A10" s="61"/>
      <c r="B10" s="148" t="s">
        <v>92</v>
      </c>
      <c r="C10" s="148"/>
      <c r="D10" s="65"/>
      <c r="E10" s="145" t="s">
        <v>96</v>
      </c>
      <c r="F10" s="146"/>
      <c r="G10" s="141"/>
      <c r="H10" s="142"/>
    </row>
    <row r="11" spans="1:8" s="8" customFormat="1" ht="4.5" customHeight="1">
      <c r="B11" s="76"/>
      <c r="C11" s="83"/>
      <c r="F11" s="84"/>
      <c r="G11" s="84"/>
    </row>
    <row r="12" spans="1:8" ht="18">
      <c r="B12" s="67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8" ht="13.8">
      <c r="B13" s="74"/>
      <c r="C13" s="68"/>
      <c r="D13" s="1"/>
      <c r="E13" s="62" t="str">
        <f>IF(ISERROR(VLOOKUP(D13,Categorias!A:B,2,0)),"",VLOOKUP(D13,Categorias!A:B,2,0))</f>
        <v/>
      </c>
      <c r="F13" s="80"/>
      <c r="G13" s="5"/>
      <c r="H13" s="78">
        <f>G7+F13-G13</f>
        <v>0</v>
      </c>
    </row>
    <row r="14" spans="1:8" ht="9.75" customHeight="1">
      <c r="B14" s="74"/>
      <c r="C14" s="68"/>
      <c r="D14" s="1"/>
      <c r="E14" s="1" t="str">
        <f>IF(ISERROR(VLOOKUP(D14,Categorias!A:B,2,0)),"",VLOOKUP(D14,Categorias!A:B,2,0))</f>
        <v/>
      </c>
      <c r="F14" s="80"/>
      <c r="G14" s="5"/>
      <c r="H14" s="79">
        <f t="shared" ref="H14:H77" si="0">H13+F14-G14</f>
        <v>0</v>
      </c>
    </row>
    <row r="15" spans="1:8" ht="13.8">
      <c r="B15" s="74"/>
      <c r="C15" s="68"/>
      <c r="D15" s="1"/>
      <c r="E15" s="1" t="str">
        <f>IF(ISERROR(VLOOKUP(D15,Categorias!A:B,2,0)),"",VLOOKUP(D15,Categorias!A:B,2,0))</f>
        <v/>
      </c>
      <c r="F15" s="80"/>
      <c r="G15" s="5"/>
      <c r="H15" s="79">
        <f t="shared" si="0"/>
        <v>0</v>
      </c>
    </row>
    <row r="16" spans="1:8" ht="13.8">
      <c r="B16" s="74"/>
      <c r="C16" s="68"/>
      <c r="D16" s="1"/>
      <c r="E16" s="1" t="str">
        <f>IF(ISERROR(VLOOKUP(D16,Categorias!A:B,2,0)),"",VLOOKUP(D16,Categorias!A:B,2,0))</f>
        <v/>
      </c>
      <c r="F16" s="80"/>
      <c r="G16" s="5"/>
      <c r="H16" s="79">
        <f t="shared" si="0"/>
        <v>0</v>
      </c>
    </row>
    <row r="17" spans="2:8" ht="13.8">
      <c r="B17" s="74"/>
      <c r="C17" s="68"/>
      <c r="D17" s="1"/>
      <c r="E17" s="1" t="str">
        <f>IF(ISERROR(VLOOKUP(D17,Categorias!A:B,2,0)),"",VLOOKUP(D17,Categorias!A:B,2,0))</f>
        <v/>
      </c>
      <c r="F17" s="80"/>
      <c r="G17" s="5"/>
      <c r="H17" s="79">
        <f t="shared" si="0"/>
        <v>0</v>
      </c>
    </row>
    <row r="18" spans="2:8" ht="13.8">
      <c r="B18" s="74"/>
      <c r="C18" s="68"/>
      <c r="D18" s="1"/>
      <c r="E18" s="1" t="str">
        <f>IF(ISERROR(VLOOKUP(D18,Categorias!A:B,2,0)),"",VLOOKUP(D18,Categorias!A:B,2,0))</f>
        <v/>
      </c>
      <c r="F18" s="80"/>
      <c r="G18" s="5"/>
      <c r="H18" s="79">
        <f t="shared" si="0"/>
        <v>0</v>
      </c>
    </row>
    <row r="19" spans="2:8" ht="13.8">
      <c r="B19" s="74"/>
      <c r="C19" s="68"/>
      <c r="D19" s="1"/>
      <c r="E19" s="1" t="str">
        <f>IF(ISERROR(VLOOKUP(D19,Categorias!A:B,2,0)),"",VLOOKUP(D19,Categorias!A:B,2,0))</f>
        <v/>
      </c>
      <c r="F19" s="80"/>
      <c r="G19" s="5"/>
      <c r="H19" s="79">
        <f t="shared" si="0"/>
        <v>0</v>
      </c>
    </row>
    <row r="20" spans="2:8" ht="13.8">
      <c r="B20" s="74"/>
      <c r="C20" s="68"/>
      <c r="D20" s="1"/>
      <c r="E20" s="1" t="str">
        <f>IF(ISERROR(VLOOKUP(D20,Categorias!A:B,2,0)),"",VLOOKUP(D20,Categorias!A:B,2,0))</f>
        <v/>
      </c>
      <c r="F20" s="80"/>
      <c r="G20" s="5"/>
      <c r="H20" s="79">
        <f t="shared" si="0"/>
        <v>0</v>
      </c>
    </row>
    <row r="21" spans="2:8" ht="13.8">
      <c r="B21" s="74"/>
      <c r="C21" s="68"/>
      <c r="D21" s="1"/>
      <c r="E21" s="1" t="str">
        <f>IF(ISERROR(VLOOKUP(D21,Categorias!A:B,2,0)),"",VLOOKUP(D21,Categorias!A:B,2,0))</f>
        <v/>
      </c>
      <c r="F21" s="80"/>
      <c r="G21" s="5"/>
      <c r="H21" s="79">
        <f t="shared" si="0"/>
        <v>0</v>
      </c>
    </row>
    <row r="22" spans="2:8" ht="13.8">
      <c r="B22" s="74"/>
      <c r="C22" s="68"/>
      <c r="D22" s="1"/>
      <c r="E22" s="1" t="str">
        <f>IF(ISERROR(VLOOKUP(D22,Categorias!A:B,2,0)),"",VLOOKUP(D22,Categorias!A:B,2,0))</f>
        <v/>
      </c>
      <c r="F22" s="80"/>
      <c r="G22" s="5"/>
      <c r="H22" s="79">
        <f t="shared" si="0"/>
        <v>0</v>
      </c>
    </row>
    <row r="23" spans="2:8" ht="13.8">
      <c r="B23" s="74"/>
      <c r="C23" s="68"/>
      <c r="D23" s="1"/>
      <c r="E23" s="1" t="str">
        <f>IF(ISERROR(VLOOKUP(D23,Categorias!A:B,2,0)),"",VLOOKUP(D23,Categorias!A:B,2,0))</f>
        <v/>
      </c>
      <c r="F23" s="80"/>
      <c r="G23" s="5"/>
      <c r="H23" s="79">
        <f t="shared" si="0"/>
        <v>0</v>
      </c>
    </row>
    <row r="24" spans="2:8" ht="13.8">
      <c r="B24" s="74"/>
      <c r="C24" s="68"/>
      <c r="D24" s="1"/>
      <c r="E24" s="1" t="str">
        <f>IF(ISERROR(VLOOKUP(D24,Categorias!A:B,2,0)),"",VLOOKUP(D24,Categorias!A:B,2,0))</f>
        <v/>
      </c>
      <c r="F24" s="80"/>
      <c r="G24" s="5"/>
      <c r="H24" s="79">
        <f t="shared" si="0"/>
        <v>0</v>
      </c>
    </row>
    <row r="25" spans="2:8" ht="13.8">
      <c r="B25" s="74"/>
      <c r="C25" s="68"/>
      <c r="D25" s="1"/>
      <c r="E25" s="1" t="str">
        <f>IF(ISERROR(VLOOKUP(D25,Categorias!A:B,2,0)),"",VLOOKUP(D25,Categorias!A:B,2,0))</f>
        <v/>
      </c>
      <c r="F25" s="80"/>
      <c r="G25" s="5"/>
      <c r="H25" s="79">
        <f t="shared" si="0"/>
        <v>0</v>
      </c>
    </row>
    <row r="26" spans="2:8" ht="13.8">
      <c r="B26" s="74"/>
      <c r="C26" s="68"/>
      <c r="D26" s="1"/>
      <c r="E26" s="1" t="str">
        <f>IF(ISERROR(VLOOKUP(D26,Categorias!A:B,2,0)),"",VLOOKUP(D26,Categorias!A:B,2,0))</f>
        <v/>
      </c>
      <c r="F26" s="80"/>
      <c r="G26" s="5"/>
      <c r="H26" s="79">
        <f t="shared" si="0"/>
        <v>0</v>
      </c>
    </row>
    <row r="27" spans="2:8" ht="13.8">
      <c r="B27" s="74"/>
      <c r="C27" s="68"/>
      <c r="D27" s="1"/>
      <c r="E27" s="1" t="str">
        <f>IF(ISERROR(VLOOKUP(D27,Categorias!A:B,2,0)),"",VLOOKUP(D27,Categorias!A:B,2,0))</f>
        <v/>
      </c>
      <c r="F27" s="80"/>
      <c r="G27" s="5"/>
      <c r="H27" s="79">
        <f t="shared" si="0"/>
        <v>0</v>
      </c>
    </row>
    <row r="28" spans="2:8" ht="13.8">
      <c r="B28" s="74"/>
      <c r="C28" s="68"/>
      <c r="D28" s="1"/>
      <c r="E28" s="1" t="str">
        <f>IF(ISERROR(VLOOKUP(D28,Categorias!A:B,2,0)),"",VLOOKUP(D28,Categorias!A:B,2,0))</f>
        <v/>
      </c>
      <c r="F28" s="80"/>
      <c r="G28" s="5"/>
      <c r="H28" s="79">
        <f t="shared" si="0"/>
        <v>0</v>
      </c>
    </row>
    <row r="29" spans="2:8" ht="13.8">
      <c r="B29" s="74"/>
      <c r="C29" s="68"/>
      <c r="D29" s="1"/>
      <c r="E29" s="1" t="str">
        <f>IF(ISERROR(VLOOKUP(D29,Categorias!A:B,2,0)),"",VLOOKUP(D29,Categorias!A:B,2,0))</f>
        <v/>
      </c>
      <c r="F29" s="80"/>
      <c r="G29" s="5"/>
      <c r="H29" s="79">
        <f t="shared" si="0"/>
        <v>0</v>
      </c>
    </row>
    <row r="30" spans="2:8" ht="13.8">
      <c r="B30" s="75"/>
      <c r="C30" s="68"/>
      <c r="D30" s="1"/>
      <c r="E30" s="1" t="str">
        <f>IF(ISERROR(VLOOKUP(D30,Categorias!A:B,2,0)),"",VLOOKUP(D30,Categorias!A:B,2,0))</f>
        <v/>
      </c>
      <c r="F30" s="80"/>
      <c r="G30" s="5"/>
      <c r="H30" s="79">
        <f t="shared" si="0"/>
        <v>0</v>
      </c>
    </row>
    <row r="31" spans="2:8" ht="13.8">
      <c r="B31" s="75"/>
      <c r="C31" s="68"/>
      <c r="D31" s="1"/>
      <c r="E31" s="1" t="str">
        <f>IF(ISERROR(VLOOKUP(D31,Categorias!A:B,2,0)),"",VLOOKUP(D31,Categorias!A:B,2,0))</f>
        <v/>
      </c>
      <c r="F31" s="80"/>
      <c r="G31" s="5"/>
      <c r="H31" s="73">
        <f t="shared" si="0"/>
        <v>0</v>
      </c>
    </row>
    <row r="32" spans="2:8" ht="13.8">
      <c r="B32" s="75"/>
      <c r="C32" s="70"/>
      <c r="D32" s="1"/>
      <c r="E32" s="1" t="str">
        <f>IF(ISERROR(VLOOKUP(D32,Categorias!A:B,2,0)),"",VLOOKUP(D32,Categorias!A:B,2,0))</f>
        <v/>
      </c>
      <c r="F32" s="80"/>
      <c r="G32" s="5"/>
      <c r="H32" s="73">
        <f t="shared" si="0"/>
        <v>0</v>
      </c>
    </row>
    <row r="33" spans="2:8" ht="13.8">
      <c r="B33" s="75"/>
      <c r="C33" s="70"/>
      <c r="D33" s="1"/>
      <c r="E33" s="1" t="str">
        <f>IF(ISERROR(VLOOKUP(D33,Categorias!A:B,2,0)),"",VLOOKUP(D33,Categorias!A:B,2,0))</f>
        <v/>
      </c>
      <c r="F33" s="80"/>
      <c r="G33" s="5"/>
      <c r="H33" s="73">
        <f t="shared" si="0"/>
        <v>0</v>
      </c>
    </row>
    <row r="34" spans="2:8" ht="13.8">
      <c r="B34" s="75"/>
      <c r="C34" s="70"/>
      <c r="D34" s="1"/>
      <c r="E34" s="1" t="str">
        <f>IF(ISERROR(VLOOKUP(D34,Categorias!A:B,2,0)),"",VLOOKUP(D34,Categorias!A:B,2,0))</f>
        <v/>
      </c>
      <c r="F34" s="80"/>
      <c r="G34" s="5"/>
      <c r="H34" s="73">
        <f t="shared" si="0"/>
        <v>0</v>
      </c>
    </row>
    <row r="35" spans="2:8" ht="13.8">
      <c r="B35" s="75"/>
      <c r="C35" s="70"/>
      <c r="D35" s="1"/>
      <c r="E35" s="1" t="str">
        <f>IF(ISERROR(VLOOKUP(D35,Categorias!A:B,2,0)),"",VLOOKUP(D35,Categorias!A:B,2,0))</f>
        <v/>
      </c>
      <c r="F35" s="80"/>
      <c r="G35" s="5"/>
      <c r="H35" s="73">
        <f t="shared" si="0"/>
        <v>0</v>
      </c>
    </row>
    <row r="36" spans="2:8" ht="13.8">
      <c r="B36" s="75"/>
      <c r="C36" s="70"/>
      <c r="D36" s="1"/>
      <c r="E36" s="1" t="str">
        <f>IF(ISERROR(VLOOKUP(D36,Categorias!A:B,2,0)),"",VLOOKUP(D36,Categorias!A:B,2,0))</f>
        <v/>
      </c>
      <c r="F36" s="80"/>
      <c r="G36" s="5"/>
      <c r="H36" s="73">
        <f t="shared" si="0"/>
        <v>0</v>
      </c>
    </row>
    <row r="37" spans="2:8" ht="13.8">
      <c r="B37" s="75"/>
      <c r="C37" s="70"/>
      <c r="D37" s="1"/>
      <c r="E37" s="1" t="str">
        <f>IF(ISERROR(VLOOKUP(D37,Categorias!A:B,2,0)),"",VLOOKUP(D37,Categorias!A:B,2,0))</f>
        <v/>
      </c>
      <c r="F37" s="80"/>
      <c r="G37" s="5"/>
      <c r="H37" s="73">
        <f t="shared" si="0"/>
        <v>0</v>
      </c>
    </row>
    <row r="38" spans="2:8" ht="13.8">
      <c r="B38" s="75"/>
      <c r="C38" s="69"/>
      <c r="D38" s="1"/>
      <c r="E38" s="1" t="str">
        <f>IF(ISERROR(VLOOKUP(D38,Categorias!A:B,2,0)),"",VLOOKUP(D38,Categorias!A:B,2,0))</f>
        <v/>
      </c>
      <c r="F38" s="80"/>
      <c r="G38" s="5"/>
      <c r="H38" s="73">
        <f t="shared" si="0"/>
        <v>0</v>
      </c>
    </row>
    <row r="39" spans="2:8" ht="13.8">
      <c r="B39" s="75"/>
      <c r="C39" s="70"/>
      <c r="D39" s="1"/>
      <c r="E39" s="1" t="str">
        <f>IF(ISERROR(VLOOKUP(D39,Categorias!A:B,2,0)),"",VLOOKUP(D39,Categorias!A:B,2,0))</f>
        <v/>
      </c>
      <c r="F39" s="80"/>
      <c r="G39" s="5"/>
      <c r="H39" s="73">
        <f t="shared" si="0"/>
        <v>0</v>
      </c>
    </row>
    <row r="40" spans="2:8" ht="13.8">
      <c r="B40" s="75"/>
      <c r="C40" s="70"/>
      <c r="D40" s="1"/>
      <c r="E40" s="1" t="str">
        <f>IF(ISERROR(VLOOKUP(D40,Categorias!A:B,2,0)),"",VLOOKUP(D40,Categorias!A:B,2,0))</f>
        <v/>
      </c>
      <c r="F40" s="80"/>
      <c r="G40" s="5"/>
      <c r="H40" s="73">
        <f t="shared" si="0"/>
        <v>0</v>
      </c>
    </row>
    <row r="41" spans="2:8" ht="13.8">
      <c r="B41" s="75"/>
      <c r="C41" s="70"/>
      <c r="D41" s="1"/>
      <c r="E41" s="1" t="str">
        <f>IF(ISERROR(VLOOKUP(D41,Categorias!A:B,2,0)),"",VLOOKUP(D41,Categorias!A:B,2,0))</f>
        <v/>
      </c>
      <c r="F41" s="80"/>
      <c r="G41" s="5"/>
      <c r="H41" s="73">
        <f t="shared" si="0"/>
        <v>0</v>
      </c>
    </row>
    <row r="42" spans="2:8" ht="13.8">
      <c r="B42" s="75"/>
      <c r="C42" s="70"/>
      <c r="D42" s="1"/>
      <c r="E42" s="1" t="str">
        <f>IF(ISERROR(VLOOKUP(D42,Categorias!A:B,2,0)),"",VLOOKUP(D42,Categorias!A:B,2,0))</f>
        <v/>
      </c>
      <c r="F42" s="80"/>
      <c r="G42" s="5"/>
      <c r="H42" s="73">
        <f t="shared" si="0"/>
        <v>0</v>
      </c>
    </row>
    <row r="43" spans="2:8" ht="13.8">
      <c r="B43" s="75"/>
      <c r="C43" s="70"/>
      <c r="D43" s="1"/>
      <c r="E43" s="1" t="str">
        <f>IF(ISERROR(VLOOKUP(D43,Categorias!A:B,2,0)),"",VLOOKUP(D43,Categorias!A:B,2,0))</f>
        <v/>
      </c>
      <c r="F43" s="80"/>
      <c r="G43" s="5"/>
      <c r="H43" s="73">
        <f t="shared" si="0"/>
        <v>0</v>
      </c>
    </row>
    <row r="44" spans="2:8" ht="13.8">
      <c r="B44" s="75"/>
      <c r="D44" s="1"/>
      <c r="E44" s="1"/>
      <c r="F44" s="80"/>
      <c r="G44" s="5"/>
      <c r="H44" s="73">
        <f t="shared" si="0"/>
        <v>0</v>
      </c>
    </row>
    <row r="45" spans="2:8" ht="13.8">
      <c r="B45" s="75"/>
      <c r="D45" s="1"/>
      <c r="E45" s="1" t="str">
        <f>IF(ISERROR(VLOOKUP(D45,Categorias!A:B,2,0)),"",VLOOKUP(D45,Categorias!A:B,2,0))</f>
        <v/>
      </c>
      <c r="F45" s="80"/>
      <c r="G45" s="5"/>
      <c r="H45" s="73">
        <f t="shared" si="0"/>
        <v>0</v>
      </c>
    </row>
    <row r="46" spans="2:8" ht="13.8">
      <c r="B46" s="75"/>
      <c r="D46" s="1"/>
      <c r="E46" s="1" t="str">
        <f>IF(ISERROR(VLOOKUP(D46,Categorias!A:B,2,0)),"",VLOOKUP(D46,Categorias!A:B,2,0))</f>
        <v/>
      </c>
      <c r="F46" s="80"/>
      <c r="G46" s="5"/>
      <c r="H46" s="73">
        <f t="shared" si="0"/>
        <v>0</v>
      </c>
    </row>
    <row r="47" spans="2:8" ht="13.8">
      <c r="B47" s="75"/>
      <c r="D47" s="1"/>
      <c r="E47" s="1" t="str">
        <f>IF(ISERROR(VLOOKUP(D47,Categorias!A:B,2,0)),"",VLOOKUP(D47,Categorias!A:B,2,0))</f>
        <v/>
      </c>
      <c r="F47" s="80"/>
      <c r="G47" s="5"/>
      <c r="H47" s="73">
        <f t="shared" si="0"/>
        <v>0</v>
      </c>
    </row>
    <row r="48" spans="2:8" ht="13.8">
      <c r="B48" s="75"/>
      <c r="D48" s="1"/>
      <c r="E48" s="1" t="str">
        <f>IF(ISERROR(VLOOKUP(D48,Categorias!A:B,2,0)),"",VLOOKUP(D48,Categorias!A:B,2,0))</f>
        <v/>
      </c>
      <c r="F48" s="80"/>
      <c r="G48" s="5"/>
      <c r="H48" s="73">
        <f t="shared" si="0"/>
        <v>0</v>
      </c>
    </row>
    <row r="49" spans="2:8" ht="13.8">
      <c r="B49" s="75"/>
      <c r="D49" s="1"/>
      <c r="E49" s="1" t="str">
        <f>IF(ISERROR(VLOOKUP(D49,Categorias!A:B,2,0)),"",VLOOKUP(D49,Categorias!A:B,2,0))</f>
        <v/>
      </c>
      <c r="F49" s="80"/>
      <c r="G49" s="5"/>
      <c r="H49" s="73">
        <f t="shared" si="0"/>
        <v>0</v>
      </c>
    </row>
    <row r="50" spans="2:8" ht="13.8">
      <c r="B50" s="75"/>
      <c r="D50" s="1"/>
      <c r="E50" s="1" t="str">
        <f>IF(ISERROR(VLOOKUP(D50,Categorias!A:B,2,0)),"",VLOOKUP(D50,Categorias!A:B,2,0))</f>
        <v/>
      </c>
      <c r="F50" s="80"/>
      <c r="G50" s="5"/>
      <c r="H50" s="73">
        <f t="shared" si="0"/>
        <v>0</v>
      </c>
    </row>
    <row r="51" spans="2:8" ht="13.8">
      <c r="B51" s="75"/>
      <c r="D51" s="1"/>
      <c r="E51" s="1" t="str">
        <f>IF(ISERROR(VLOOKUP(D51,Categorias!A:B,2,0)),"",VLOOKUP(D51,Categorias!A:B,2,0))</f>
        <v/>
      </c>
      <c r="F51" s="80"/>
      <c r="G51" s="5"/>
      <c r="H51" s="73">
        <f t="shared" si="0"/>
        <v>0</v>
      </c>
    </row>
    <row r="52" spans="2:8" ht="13.8">
      <c r="B52" s="75"/>
      <c r="D52" s="1"/>
      <c r="E52" s="1" t="str">
        <f>IF(ISERROR(VLOOKUP(D52,Categorias!A:B,2,0)),"",VLOOKUP(D52,Categorias!A:B,2,0))</f>
        <v/>
      </c>
      <c r="F52" s="80"/>
      <c r="G52" s="5"/>
      <c r="H52" s="73">
        <f t="shared" si="0"/>
        <v>0</v>
      </c>
    </row>
    <row r="53" spans="2:8" ht="13.8">
      <c r="B53" s="75"/>
      <c r="D53" s="1"/>
      <c r="E53" s="1" t="str">
        <f>IF(ISERROR(VLOOKUP(D53,Categorias!A:B,2,0)),"",VLOOKUP(D53,Categorias!A:B,2,0))</f>
        <v/>
      </c>
      <c r="F53" s="80"/>
      <c r="G53" s="5"/>
      <c r="H53" s="73">
        <f t="shared" si="0"/>
        <v>0</v>
      </c>
    </row>
    <row r="54" spans="2:8" ht="13.8">
      <c r="B54" s="75"/>
      <c r="D54" s="1"/>
      <c r="E54" s="1" t="str">
        <f>IF(ISERROR(VLOOKUP(D54,Categorias!A:B,2,0)),"",VLOOKUP(D54,Categorias!A:B,2,0))</f>
        <v/>
      </c>
      <c r="F54" s="80"/>
      <c r="G54" s="5"/>
      <c r="H54" s="73">
        <f t="shared" si="0"/>
        <v>0</v>
      </c>
    </row>
    <row r="55" spans="2:8" ht="13.8">
      <c r="B55" s="75"/>
      <c r="D55" s="1"/>
      <c r="E55" s="1" t="str">
        <f>IF(ISERROR(VLOOKUP(D55,Categorias!A:B,2,0)),"",VLOOKUP(D55,Categorias!A:B,2,0))</f>
        <v/>
      </c>
      <c r="F55" s="80"/>
      <c r="G55" s="5"/>
      <c r="H55" s="73">
        <f t="shared" si="0"/>
        <v>0</v>
      </c>
    </row>
    <row r="56" spans="2:8" ht="13.8">
      <c r="B56" s="75"/>
      <c r="D56" s="1"/>
      <c r="E56" s="1" t="str">
        <f>IF(ISERROR(VLOOKUP(D56,Categorias!A:B,2,0)),"",VLOOKUP(D56,Categorias!A:B,2,0))</f>
        <v/>
      </c>
      <c r="F56" s="80"/>
      <c r="G56" s="5"/>
      <c r="H56" s="73">
        <f t="shared" si="0"/>
        <v>0</v>
      </c>
    </row>
    <row r="57" spans="2:8" ht="13.8">
      <c r="B57" s="75"/>
      <c r="D57" s="1"/>
      <c r="E57" s="1" t="str">
        <f>IF(ISERROR(VLOOKUP(D57,Categorias!A:B,2,0)),"",VLOOKUP(D57,Categorias!A:B,2,0))</f>
        <v/>
      </c>
      <c r="F57" s="80"/>
      <c r="G57" s="5"/>
      <c r="H57" s="73">
        <f t="shared" si="0"/>
        <v>0</v>
      </c>
    </row>
    <row r="58" spans="2:8" ht="13.8">
      <c r="D58" s="1"/>
      <c r="E58" s="1" t="str">
        <f>IF(ISERROR(VLOOKUP(D58,Categorias!A:B,2,0)),"",VLOOKUP(D58,Categorias!A:B,2,0))</f>
        <v/>
      </c>
      <c r="F58" s="80"/>
      <c r="G58" s="5"/>
      <c r="H58" s="73">
        <f t="shared" si="0"/>
        <v>0</v>
      </c>
    </row>
    <row r="59" spans="2:8" ht="13.8">
      <c r="D59" s="1"/>
      <c r="E59" s="1" t="str">
        <f>IF(ISERROR(VLOOKUP(D59,Categorias!A:B,2,0)),"",VLOOKUP(D59,Categorias!A:B,2,0))</f>
        <v/>
      </c>
      <c r="F59" s="80"/>
      <c r="G59" s="5"/>
      <c r="H59" s="73">
        <f t="shared" si="0"/>
        <v>0</v>
      </c>
    </row>
    <row r="60" spans="2:8" ht="13.8">
      <c r="D60" s="1"/>
      <c r="E60" s="1" t="str">
        <f>IF(ISERROR(VLOOKUP(D60,Categorias!A:B,2,0)),"",VLOOKUP(D60,Categorias!A:B,2,0))</f>
        <v/>
      </c>
      <c r="F60" s="80"/>
      <c r="G60" s="5"/>
      <c r="H60" s="73">
        <f t="shared" si="0"/>
        <v>0</v>
      </c>
    </row>
    <row r="61" spans="2:8" ht="13.8">
      <c r="D61" s="1"/>
      <c r="E61" s="1" t="str">
        <f>IF(ISERROR(VLOOKUP(D61,Categorias!A:B,2,0)),"",VLOOKUP(D61,Categorias!A:B,2,0))</f>
        <v/>
      </c>
      <c r="F61" s="80"/>
      <c r="G61" s="5"/>
      <c r="H61" s="73">
        <f t="shared" si="0"/>
        <v>0</v>
      </c>
    </row>
    <row r="62" spans="2:8" ht="13.8">
      <c r="D62" s="1"/>
      <c r="E62" s="1" t="str">
        <f>IF(ISERROR(VLOOKUP(D62,Categorias!A:B,2,0)),"",VLOOKUP(D62,Categorias!A:B,2,0))</f>
        <v/>
      </c>
      <c r="F62" s="80"/>
      <c r="G62" s="5"/>
      <c r="H62" s="73">
        <f t="shared" si="0"/>
        <v>0</v>
      </c>
    </row>
    <row r="63" spans="2:8" ht="13.8">
      <c r="D63" s="1"/>
      <c r="E63" s="1" t="str">
        <f>IF(ISERROR(VLOOKUP(D63,Categorias!A:B,2,0)),"",VLOOKUP(D63,Categorias!A:B,2,0))</f>
        <v/>
      </c>
      <c r="F63" s="80"/>
      <c r="G63" s="5"/>
      <c r="H63" s="73">
        <f t="shared" si="0"/>
        <v>0</v>
      </c>
    </row>
    <row r="64" spans="2:8" ht="13.8">
      <c r="D64" s="1"/>
      <c r="E64" s="1" t="str">
        <f>IF(ISERROR(VLOOKUP(D64,Categorias!A:B,2,0)),"",VLOOKUP(D64,Categorias!A:B,2,0))</f>
        <v/>
      </c>
      <c r="F64" s="80"/>
      <c r="G64" s="5"/>
      <c r="H64" s="73">
        <f t="shared" si="0"/>
        <v>0</v>
      </c>
    </row>
    <row r="65" spans="4:8" ht="13.8">
      <c r="D65" s="1"/>
      <c r="E65" s="1" t="str">
        <f>IF(ISERROR(VLOOKUP(D65,Categorias!A:B,2,0)),"",VLOOKUP(D65,Categorias!A:B,2,0))</f>
        <v/>
      </c>
      <c r="F65" s="80"/>
      <c r="G65" s="5"/>
      <c r="H65" s="73">
        <f t="shared" si="0"/>
        <v>0</v>
      </c>
    </row>
    <row r="66" spans="4:8" ht="13.8">
      <c r="D66" s="1"/>
      <c r="E66" s="1" t="str">
        <f>IF(ISERROR(VLOOKUP(D66,Categorias!A:B,2,0)),"",VLOOKUP(D66,Categorias!A:B,2,0))</f>
        <v/>
      </c>
      <c r="F66" s="80"/>
      <c r="G66" s="5"/>
      <c r="H66" s="73">
        <f t="shared" si="0"/>
        <v>0</v>
      </c>
    </row>
    <row r="67" spans="4:8" ht="13.8">
      <c r="D67" s="1"/>
      <c r="E67" s="1" t="str">
        <f>IF(ISERROR(VLOOKUP(D67,Categorias!A:B,2,0)),"",VLOOKUP(D67,Categorias!A:B,2,0))</f>
        <v/>
      </c>
      <c r="F67" s="80"/>
      <c r="G67" s="5"/>
      <c r="H67" s="73">
        <f t="shared" si="0"/>
        <v>0</v>
      </c>
    </row>
    <row r="68" spans="4:8" ht="13.8">
      <c r="D68" s="1"/>
      <c r="E68" s="1" t="str">
        <f>IF(ISERROR(VLOOKUP(D68,Categorias!A:B,2,0)),"",VLOOKUP(D68,Categorias!A:B,2,0))</f>
        <v/>
      </c>
      <c r="F68" s="80"/>
      <c r="G68" s="5"/>
      <c r="H68" s="73">
        <f t="shared" si="0"/>
        <v>0</v>
      </c>
    </row>
    <row r="69" spans="4:8" ht="13.8">
      <c r="D69" s="1"/>
      <c r="E69" s="1" t="str">
        <f>IF(ISERROR(VLOOKUP(D69,Categorias!A:B,2,0)),"",VLOOKUP(D69,Categorias!A:B,2,0))</f>
        <v/>
      </c>
      <c r="F69" s="80"/>
      <c r="G69" s="5"/>
      <c r="H69" s="73">
        <f t="shared" si="0"/>
        <v>0</v>
      </c>
    </row>
    <row r="70" spans="4:8" ht="13.8">
      <c r="D70" s="1"/>
      <c r="E70" s="1" t="str">
        <f>IF(ISERROR(VLOOKUP(D70,Categorias!A:B,2,0)),"",VLOOKUP(D70,Categorias!A:B,2,0))</f>
        <v/>
      </c>
      <c r="F70" s="80"/>
      <c r="G70" s="5"/>
      <c r="H70" s="73">
        <f t="shared" si="0"/>
        <v>0</v>
      </c>
    </row>
    <row r="71" spans="4:8" ht="13.8">
      <c r="D71" s="1"/>
      <c r="E71" s="1" t="str">
        <f>IF(ISERROR(VLOOKUP(D71,Categorias!A:B,2,0)),"",VLOOKUP(D71,Categorias!A:B,2,0))</f>
        <v/>
      </c>
      <c r="F71" s="80"/>
      <c r="G71" s="5"/>
      <c r="H71" s="73">
        <f t="shared" si="0"/>
        <v>0</v>
      </c>
    </row>
    <row r="72" spans="4:8" ht="13.8">
      <c r="D72" s="1"/>
      <c r="E72" s="1" t="str">
        <f>IF(ISERROR(VLOOKUP(D72,Categorias!A:B,2,0)),"",VLOOKUP(D72,Categorias!A:B,2,0))</f>
        <v/>
      </c>
      <c r="F72" s="80"/>
      <c r="G72" s="5"/>
      <c r="H72" s="73">
        <f t="shared" si="0"/>
        <v>0</v>
      </c>
    </row>
    <row r="73" spans="4:8" ht="13.8">
      <c r="D73" s="1"/>
      <c r="E73" s="1" t="str">
        <f>IF(ISERROR(VLOOKUP(D73,Categorias!A:B,2,0)),"",VLOOKUP(D73,Categorias!A:B,2,0))</f>
        <v/>
      </c>
      <c r="F73" s="80"/>
      <c r="G73" s="5"/>
      <c r="H73" s="73">
        <f t="shared" si="0"/>
        <v>0</v>
      </c>
    </row>
    <row r="74" spans="4:8" ht="13.8">
      <c r="D74" s="1"/>
      <c r="E74" s="1" t="str">
        <f>IF(ISERROR(VLOOKUP(D74,Categorias!A:B,2,0)),"",VLOOKUP(D74,Categorias!A:B,2,0))</f>
        <v/>
      </c>
      <c r="F74" s="80"/>
      <c r="G74" s="5"/>
      <c r="H74" s="73">
        <f t="shared" si="0"/>
        <v>0</v>
      </c>
    </row>
    <row r="75" spans="4:8" ht="13.8">
      <c r="D75" s="1"/>
      <c r="E75" s="1" t="str">
        <f>IF(ISERROR(VLOOKUP(D75,Categorias!A:B,2,0)),"",VLOOKUP(D75,Categorias!A:B,2,0))</f>
        <v/>
      </c>
      <c r="F75" s="80"/>
      <c r="G75" s="5"/>
      <c r="H75" s="73">
        <f t="shared" si="0"/>
        <v>0</v>
      </c>
    </row>
    <row r="76" spans="4:8" ht="13.8">
      <c r="D76" s="1"/>
      <c r="E76" s="1" t="str">
        <f>IF(ISERROR(VLOOKUP(D76,Categorias!A:B,2,0)),"",VLOOKUP(D76,Categorias!A:B,2,0))</f>
        <v/>
      </c>
      <c r="F76" s="80"/>
      <c r="G76" s="5"/>
      <c r="H76" s="73">
        <f t="shared" si="0"/>
        <v>0</v>
      </c>
    </row>
    <row r="77" spans="4:8" ht="13.8">
      <c r="D77" s="1"/>
      <c r="E77" s="1" t="str">
        <f>IF(ISERROR(VLOOKUP(D77,Categorias!A:B,2,0)),"",VLOOKUP(D77,Categorias!A:B,2,0))</f>
        <v/>
      </c>
      <c r="F77" s="80"/>
      <c r="G77" s="5"/>
      <c r="H77" s="73">
        <f t="shared" si="0"/>
        <v>0</v>
      </c>
    </row>
    <row r="78" spans="4:8" ht="13.8">
      <c r="D78" s="1"/>
      <c r="E78" s="1" t="str">
        <f>IF(ISERROR(VLOOKUP(D78,Categorias!A:B,2,0)),"",VLOOKUP(D78,Categorias!A:B,2,0))</f>
        <v/>
      </c>
      <c r="F78" s="80"/>
      <c r="G78" s="5"/>
      <c r="H78" s="73">
        <f t="shared" ref="H78:H141" si="1">H77+F78-G78</f>
        <v>0</v>
      </c>
    </row>
    <row r="79" spans="4:8" ht="13.8">
      <c r="D79" s="1"/>
      <c r="E79" s="1" t="str">
        <f>IF(ISERROR(VLOOKUP(D79,Categorias!A:B,2,0)),"",VLOOKUP(D79,Categorias!A:B,2,0))</f>
        <v/>
      </c>
      <c r="F79" s="80"/>
      <c r="G79" s="5"/>
      <c r="H79" s="73">
        <f t="shared" si="1"/>
        <v>0</v>
      </c>
    </row>
    <row r="80" spans="4:8" ht="13.8">
      <c r="D80" s="1"/>
      <c r="E80" s="1" t="str">
        <f>IF(ISERROR(VLOOKUP(D80,Categorias!A:B,2,0)),"",VLOOKUP(D80,Categorias!A:B,2,0))</f>
        <v/>
      </c>
      <c r="F80" s="80"/>
      <c r="G80" s="5"/>
      <c r="H80" s="73">
        <f t="shared" si="1"/>
        <v>0</v>
      </c>
    </row>
    <row r="81" spans="4:8" ht="13.8">
      <c r="D81" s="1"/>
      <c r="E81" s="1" t="str">
        <f>IF(ISERROR(VLOOKUP(D81,Categorias!A:B,2,0)),"",VLOOKUP(D81,Categorias!A:B,2,0))</f>
        <v/>
      </c>
      <c r="F81" s="80"/>
      <c r="G81" s="5"/>
      <c r="H81" s="73">
        <f t="shared" si="1"/>
        <v>0</v>
      </c>
    </row>
    <row r="82" spans="4:8" ht="13.8">
      <c r="D82" s="1"/>
      <c r="E82" s="1" t="str">
        <f>IF(ISERROR(VLOOKUP(D82,Categorias!A:B,2,0)),"",VLOOKUP(D82,Categorias!A:B,2,0))</f>
        <v/>
      </c>
      <c r="F82" s="80"/>
      <c r="G82" s="5"/>
      <c r="H82" s="73">
        <f t="shared" si="1"/>
        <v>0</v>
      </c>
    </row>
    <row r="83" spans="4:8" ht="13.8">
      <c r="D83" s="1"/>
      <c r="E83" s="1" t="str">
        <f>IF(ISERROR(VLOOKUP(D83,Categorias!A:B,2,0)),"",VLOOKUP(D83,Categorias!A:B,2,0))</f>
        <v/>
      </c>
      <c r="F83" s="80"/>
      <c r="G83" s="5"/>
      <c r="H83" s="73">
        <f t="shared" si="1"/>
        <v>0</v>
      </c>
    </row>
    <row r="84" spans="4:8" ht="13.8">
      <c r="D84" s="1"/>
      <c r="E84" s="1" t="str">
        <f>IF(ISERROR(VLOOKUP(D84,Categorias!A:B,2,0)),"",VLOOKUP(D84,Categorias!A:B,2,0))</f>
        <v/>
      </c>
      <c r="F84" s="80"/>
      <c r="G84" s="5"/>
      <c r="H84" s="73">
        <f t="shared" si="1"/>
        <v>0</v>
      </c>
    </row>
    <row r="85" spans="4:8" ht="13.8">
      <c r="D85" s="1"/>
      <c r="E85" s="1" t="str">
        <f>IF(ISERROR(VLOOKUP(D85,Categorias!A:B,2,0)),"",VLOOKUP(D85,Categorias!A:B,2,0))</f>
        <v/>
      </c>
      <c r="F85" s="80"/>
      <c r="G85" s="5"/>
      <c r="H85" s="73">
        <f t="shared" si="1"/>
        <v>0</v>
      </c>
    </row>
    <row r="86" spans="4:8" ht="13.8">
      <c r="D86" s="1"/>
      <c r="E86" s="1" t="str">
        <f>IF(ISERROR(VLOOKUP(D86,Categorias!A:B,2,0)),"",VLOOKUP(D86,Categorias!A:B,2,0))</f>
        <v/>
      </c>
      <c r="F86" s="80"/>
      <c r="G86" s="5"/>
      <c r="H86" s="73">
        <f t="shared" si="1"/>
        <v>0</v>
      </c>
    </row>
    <row r="87" spans="4:8" ht="13.8">
      <c r="D87" s="1"/>
      <c r="E87" s="1" t="str">
        <f>IF(ISERROR(VLOOKUP(D87,Categorias!A:B,2,0)),"",VLOOKUP(D87,Categorias!A:B,2,0))</f>
        <v/>
      </c>
      <c r="F87" s="80"/>
      <c r="G87" s="5"/>
      <c r="H87" s="73">
        <f t="shared" si="1"/>
        <v>0</v>
      </c>
    </row>
    <row r="88" spans="4:8" ht="13.8">
      <c r="D88" s="1"/>
      <c r="E88" s="1" t="str">
        <f>IF(ISERROR(VLOOKUP(D88,Categorias!A:B,2,0)),"",VLOOKUP(D88,Categorias!A:B,2,0))</f>
        <v/>
      </c>
      <c r="F88" s="80"/>
      <c r="G88" s="5"/>
      <c r="H88" s="73">
        <f t="shared" si="1"/>
        <v>0</v>
      </c>
    </row>
    <row r="89" spans="4:8" ht="13.8">
      <c r="D89" s="1"/>
      <c r="E89" s="1" t="str">
        <f>IF(ISERROR(VLOOKUP(D89,Categorias!A:B,2,0)),"",VLOOKUP(D89,Categorias!A:B,2,0))</f>
        <v/>
      </c>
      <c r="F89" s="80"/>
      <c r="G89" s="5"/>
      <c r="H89" s="73">
        <f t="shared" si="1"/>
        <v>0</v>
      </c>
    </row>
    <row r="90" spans="4:8" ht="13.8">
      <c r="D90" s="1"/>
      <c r="E90" s="1" t="str">
        <f>IF(ISERROR(VLOOKUP(D90,Categorias!A:B,2,0)),"",VLOOKUP(D90,Categorias!A:B,2,0))</f>
        <v/>
      </c>
      <c r="F90" s="80"/>
      <c r="G90" s="5"/>
      <c r="H90" s="73">
        <f t="shared" si="1"/>
        <v>0</v>
      </c>
    </row>
    <row r="91" spans="4:8" ht="13.8">
      <c r="D91" s="1"/>
      <c r="E91" s="1" t="str">
        <f>IF(ISERROR(VLOOKUP(D91,Categorias!A:B,2,0)),"",VLOOKUP(D91,Categorias!A:B,2,0))</f>
        <v/>
      </c>
      <c r="F91" s="80"/>
      <c r="G91" s="5"/>
      <c r="H91" s="73">
        <f t="shared" si="1"/>
        <v>0</v>
      </c>
    </row>
    <row r="92" spans="4:8" ht="13.8">
      <c r="D92" s="1"/>
      <c r="E92" s="1" t="str">
        <f>IF(ISERROR(VLOOKUP(D92,Categorias!A:B,2,0)),"",VLOOKUP(D92,Categorias!A:B,2,0))</f>
        <v/>
      </c>
      <c r="F92" s="80"/>
      <c r="G92" s="5"/>
      <c r="H92" s="73">
        <f t="shared" si="1"/>
        <v>0</v>
      </c>
    </row>
    <row r="93" spans="4:8" ht="13.8">
      <c r="D93" s="1"/>
      <c r="E93" s="1" t="str">
        <f>IF(ISERROR(VLOOKUP(D93,Categorias!A:B,2,0)),"",VLOOKUP(D93,Categorias!A:B,2,0))</f>
        <v/>
      </c>
      <c r="F93" s="80"/>
      <c r="G93" s="5"/>
      <c r="H93" s="73">
        <f t="shared" si="1"/>
        <v>0</v>
      </c>
    </row>
    <row r="94" spans="4:8" ht="13.8">
      <c r="D94" s="1"/>
      <c r="E94" s="1" t="str">
        <f>IF(ISERROR(VLOOKUP(D94,Categorias!A:B,2,0)),"",VLOOKUP(D94,Categorias!A:B,2,0))</f>
        <v/>
      </c>
      <c r="F94" s="80"/>
      <c r="G94" s="5"/>
      <c r="H94" s="73">
        <f t="shared" si="1"/>
        <v>0</v>
      </c>
    </row>
    <row r="95" spans="4:8" ht="13.8">
      <c r="D95" s="1"/>
      <c r="E95" s="1" t="str">
        <f>IF(ISERROR(VLOOKUP(D95,Categorias!A:B,2,0)),"",VLOOKUP(D95,Categorias!A:B,2,0))</f>
        <v/>
      </c>
      <c r="F95" s="80"/>
      <c r="G95" s="5"/>
      <c r="H95" s="73">
        <f t="shared" si="1"/>
        <v>0</v>
      </c>
    </row>
    <row r="96" spans="4:8" ht="13.8">
      <c r="D96" s="1"/>
      <c r="E96" s="1" t="str">
        <f>IF(ISERROR(VLOOKUP(D96,Categorias!A:B,2,0)),"",VLOOKUP(D96,Categorias!A:B,2,0))</f>
        <v/>
      </c>
      <c r="F96" s="80"/>
      <c r="G96" s="5"/>
      <c r="H96" s="73">
        <f t="shared" si="1"/>
        <v>0</v>
      </c>
    </row>
    <row r="97" spans="4:8" ht="13.8">
      <c r="D97" s="1"/>
      <c r="E97" s="1" t="str">
        <f>IF(ISERROR(VLOOKUP(D97,Categorias!A:B,2,0)),"",VLOOKUP(D97,Categorias!A:B,2,0))</f>
        <v/>
      </c>
      <c r="F97" s="80"/>
      <c r="G97" s="5"/>
      <c r="H97" s="73">
        <f t="shared" si="1"/>
        <v>0</v>
      </c>
    </row>
    <row r="98" spans="4:8" ht="13.8">
      <c r="D98" s="1"/>
      <c r="E98" s="1" t="str">
        <f>IF(ISERROR(VLOOKUP(D98,Categorias!A:B,2,0)),"",VLOOKUP(D98,Categorias!A:B,2,0))</f>
        <v/>
      </c>
      <c r="F98" s="80"/>
      <c r="G98" s="5"/>
      <c r="H98" s="73">
        <f t="shared" si="1"/>
        <v>0</v>
      </c>
    </row>
    <row r="99" spans="4:8" ht="13.8">
      <c r="D99" s="1"/>
      <c r="E99" s="1" t="str">
        <f>IF(ISERROR(VLOOKUP(D99,Categorias!A:B,2,0)),"",VLOOKUP(D99,Categorias!A:B,2,0))</f>
        <v/>
      </c>
      <c r="F99" s="80"/>
      <c r="G99" s="5"/>
      <c r="H99" s="73">
        <f t="shared" si="1"/>
        <v>0</v>
      </c>
    </row>
    <row r="100" spans="4:8" ht="13.8">
      <c r="D100" s="1"/>
      <c r="E100" s="1" t="str">
        <f>IF(ISERROR(VLOOKUP(D100,Categorias!A:B,2,0)),"",VLOOKUP(D100,Categorias!A:B,2,0))</f>
        <v/>
      </c>
      <c r="F100" s="80"/>
      <c r="G100" s="5"/>
      <c r="H100" s="73">
        <f t="shared" si="1"/>
        <v>0</v>
      </c>
    </row>
    <row r="101" spans="4:8" ht="13.8">
      <c r="D101" s="1"/>
      <c r="E101" s="1" t="str">
        <f>IF(ISERROR(VLOOKUP(D101,Categorias!A:B,2,0)),"",VLOOKUP(D101,Categorias!A:B,2,0))</f>
        <v/>
      </c>
      <c r="F101" s="80"/>
      <c r="G101" s="5"/>
      <c r="H101" s="73">
        <f t="shared" si="1"/>
        <v>0</v>
      </c>
    </row>
    <row r="102" spans="4:8" ht="13.8">
      <c r="D102" s="1"/>
      <c r="E102" s="1" t="str">
        <f>IF(ISERROR(VLOOKUP(D102,Categorias!A:B,2,0)),"",VLOOKUP(D102,Categorias!A:B,2,0))</f>
        <v/>
      </c>
      <c r="F102" s="80"/>
      <c r="G102" s="5"/>
      <c r="H102" s="73">
        <f t="shared" si="1"/>
        <v>0</v>
      </c>
    </row>
    <row r="103" spans="4:8" ht="13.8">
      <c r="D103" s="1"/>
      <c r="E103" s="1" t="str">
        <f>IF(ISERROR(VLOOKUP(D103,Categorias!A:B,2,0)),"",VLOOKUP(D103,Categorias!A:B,2,0))</f>
        <v/>
      </c>
      <c r="F103" s="80"/>
      <c r="G103" s="5"/>
      <c r="H103" s="73">
        <f t="shared" si="1"/>
        <v>0</v>
      </c>
    </row>
    <row r="104" spans="4:8" ht="13.8">
      <c r="D104" s="1"/>
      <c r="E104" s="1" t="str">
        <f>IF(ISERROR(VLOOKUP(D104,Categorias!A:B,2,0)),"",VLOOKUP(D104,Categorias!A:B,2,0))</f>
        <v/>
      </c>
      <c r="F104" s="80"/>
      <c r="G104" s="5"/>
      <c r="H104" s="73">
        <f t="shared" si="1"/>
        <v>0</v>
      </c>
    </row>
    <row r="105" spans="4:8" ht="13.8">
      <c r="D105" s="1"/>
      <c r="E105" s="1" t="str">
        <f>IF(ISERROR(VLOOKUP(D105,Categorias!A:B,2,0)),"",VLOOKUP(D105,Categorias!A:B,2,0))</f>
        <v/>
      </c>
      <c r="F105" s="80"/>
      <c r="G105" s="5"/>
      <c r="H105" s="73">
        <f t="shared" si="1"/>
        <v>0</v>
      </c>
    </row>
    <row r="106" spans="4:8" ht="13.8">
      <c r="D106" s="1"/>
      <c r="E106" s="1" t="str">
        <f>IF(ISERROR(VLOOKUP(D106,Categorias!A:B,2,0)),"",VLOOKUP(D106,Categorias!A:B,2,0))</f>
        <v/>
      </c>
      <c r="F106" s="80"/>
      <c r="G106" s="5"/>
      <c r="H106" s="73">
        <f t="shared" si="1"/>
        <v>0</v>
      </c>
    </row>
    <row r="107" spans="4:8" ht="13.8">
      <c r="D107" s="1"/>
      <c r="E107" s="1" t="str">
        <f>IF(ISERROR(VLOOKUP(D107,Categorias!A:B,2,0)),"",VLOOKUP(D107,Categorias!A:B,2,0))</f>
        <v/>
      </c>
      <c r="F107" s="80"/>
      <c r="G107" s="5"/>
      <c r="H107" s="73">
        <f t="shared" si="1"/>
        <v>0</v>
      </c>
    </row>
    <row r="108" spans="4:8" ht="13.8">
      <c r="D108" s="1"/>
      <c r="E108" s="1" t="str">
        <f>IF(ISERROR(VLOOKUP(D108,Categorias!A:B,2,0)),"",VLOOKUP(D108,Categorias!A:B,2,0))</f>
        <v/>
      </c>
      <c r="F108" s="80"/>
      <c r="G108" s="5"/>
      <c r="H108" s="73">
        <f t="shared" si="1"/>
        <v>0</v>
      </c>
    </row>
    <row r="109" spans="4:8" ht="13.8">
      <c r="D109" s="1"/>
      <c r="E109" s="1" t="str">
        <f>IF(ISERROR(VLOOKUP(D109,Categorias!A:B,2,0)),"",VLOOKUP(D109,Categorias!A:B,2,0))</f>
        <v/>
      </c>
      <c r="F109" s="80"/>
      <c r="G109" s="5"/>
      <c r="H109" s="73">
        <f t="shared" si="1"/>
        <v>0</v>
      </c>
    </row>
    <row r="110" spans="4:8" ht="13.8">
      <c r="D110" s="1"/>
      <c r="E110" s="1" t="str">
        <f>IF(ISERROR(VLOOKUP(D110,Categorias!A:B,2,0)),"",VLOOKUP(D110,Categorias!A:B,2,0))</f>
        <v/>
      </c>
      <c r="F110" s="80"/>
      <c r="G110" s="5"/>
      <c r="H110" s="73">
        <f t="shared" si="1"/>
        <v>0</v>
      </c>
    </row>
    <row r="111" spans="4:8" ht="13.8">
      <c r="D111" s="1"/>
      <c r="E111" s="1" t="str">
        <f>IF(ISERROR(VLOOKUP(D111,Categorias!A:B,2,0)),"",VLOOKUP(D111,Categorias!A:B,2,0))</f>
        <v/>
      </c>
      <c r="F111" s="80"/>
      <c r="G111" s="5"/>
      <c r="H111" s="73">
        <f t="shared" si="1"/>
        <v>0</v>
      </c>
    </row>
    <row r="112" spans="4:8" ht="13.8">
      <c r="D112" s="1"/>
      <c r="E112" s="1" t="str">
        <f>IF(ISERROR(VLOOKUP(D112,Categorias!A:B,2,0)),"",VLOOKUP(D112,Categorias!A:B,2,0))</f>
        <v/>
      </c>
      <c r="F112" s="80"/>
      <c r="G112" s="5"/>
      <c r="H112" s="73">
        <f t="shared" si="1"/>
        <v>0</v>
      </c>
    </row>
    <row r="113" spans="4:8" ht="13.8">
      <c r="D113" s="1"/>
      <c r="E113" s="1" t="str">
        <f>IF(ISERROR(VLOOKUP(D113,Categorias!A:B,2,0)),"",VLOOKUP(D113,Categorias!A:B,2,0))</f>
        <v/>
      </c>
      <c r="F113" s="80"/>
      <c r="G113" s="5"/>
      <c r="H113" s="73">
        <f t="shared" si="1"/>
        <v>0</v>
      </c>
    </row>
    <row r="114" spans="4:8" ht="13.8">
      <c r="D114" s="1"/>
      <c r="E114" s="1" t="str">
        <f>IF(ISERROR(VLOOKUP(D114,Categorias!A:B,2,0)),"",VLOOKUP(D114,Categorias!A:B,2,0))</f>
        <v/>
      </c>
      <c r="F114" s="80"/>
      <c r="G114" s="5"/>
      <c r="H114" s="73">
        <f t="shared" si="1"/>
        <v>0</v>
      </c>
    </row>
    <row r="115" spans="4:8" ht="13.8">
      <c r="D115" s="1"/>
      <c r="E115" s="1" t="str">
        <f>IF(ISERROR(VLOOKUP(D115,Categorias!A:B,2,0)),"",VLOOKUP(D115,Categorias!A:B,2,0))</f>
        <v/>
      </c>
      <c r="F115" s="80"/>
      <c r="G115" s="5"/>
      <c r="H115" s="73">
        <f t="shared" si="1"/>
        <v>0</v>
      </c>
    </row>
    <row r="116" spans="4:8" ht="13.8">
      <c r="D116" s="1"/>
      <c r="E116" s="1" t="str">
        <f>IF(ISERROR(VLOOKUP(D116,Categorias!A:B,2,0)),"",VLOOKUP(D116,Categorias!A:B,2,0))</f>
        <v/>
      </c>
      <c r="F116" s="80"/>
      <c r="G116" s="5"/>
      <c r="H116" s="73">
        <f t="shared" si="1"/>
        <v>0</v>
      </c>
    </row>
    <row r="117" spans="4:8" ht="13.8">
      <c r="D117" s="1"/>
      <c r="E117" s="1" t="str">
        <f>IF(ISERROR(VLOOKUP(D117,Categorias!A:B,2,0)),"",VLOOKUP(D117,Categorias!A:B,2,0))</f>
        <v/>
      </c>
      <c r="F117" s="80"/>
      <c r="G117" s="5"/>
      <c r="H117" s="73">
        <f t="shared" si="1"/>
        <v>0</v>
      </c>
    </row>
    <row r="118" spans="4:8" ht="13.8">
      <c r="D118" s="1"/>
      <c r="E118" s="1" t="str">
        <f>IF(ISERROR(VLOOKUP(D118,Categorias!A:B,2,0)),"",VLOOKUP(D118,Categorias!A:B,2,0))</f>
        <v/>
      </c>
      <c r="F118" s="80"/>
      <c r="G118" s="5"/>
      <c r="H118" s="73">
        <f t="shared" si="1"/>
        <v>0</v>
      </c>
    </row>
    <row r="119" spans="4:8" ht="13.8">
      <c r="D119" s="1"/>
      <c r="E119" s="1" t="str">
        <f>IF(ISERROR(VLOOKUP(D119,Categorias!A:B,2,0)),"",VLOOKUP(D119,Categorias!A:B,2,0))</f>
        <v/>
      </c>
      <c r="F119" s="80"/>
      <c r="G119" s="5"/>
      <c r="H119" s="73">
        <f t="shared" si="1"/>
        <v>0</v>
      </c>
    </row>
    <row r="120" spans="4:8" ht="13.8">
      <c r="D120" s="1"/>
      <c r="E120" s="1" t="str">
        <f>IF(ISERROR(VLOOKUP(D120,Categorias!A:B,2,0)),"",VLOOKUP(D120,Categorias!A:B,2,0))</f>
        <v/>
      </c>
      <c r="F120" s="80"/>
      <c r="G120" s="5"/>
      <c r="H120" s="73">
        <f t="shared" si="1"/>
        <v>0</v>
      </c>
    </row>
    <row r="121" spans="4:8" ht="13.8">
      <c r="D121" s="1"/>
      <c r="E121" s="1" t="str">
        <f>IF(ISERROR(VLOOKUP(D121,Categorias!A:B,2,0)),"",VLOOKUP(D121,Categorias!A:B,2,0))</f>
        <v/>
      </c>
      <c r="F121" s="80"/>
      <c r="G121" s="5"/>
      <c r="H121" s="73">
        <f t="shared" si="1"/>
        <v>0</v>
      </c>
    </row>
    <row r="122" spans="4:8" ht="13.8">
      <c r="D122" s="1"/>
      <c r="E122" s="1" t="str">
        <f>IF(ISERROR(VLOOKUP(D122,Categorias!A:B,2,0)),"",VLOOKUP(D122,Categorias!A:B,2,0))</f>
        <v/>
      </c>
      <c r="F122" s="80"/>
      <c r="G122" s="5"/>
      <c r="H122" s="73">
        <f t="shared" si="1"/>
        <v>0</v>
      </c>
    </row>
    <row r="123" spans="4:8" ht="13.8">
      <c r="D123" s="1"/>
      <c r="E123" s="1" t="str">
        <f>IF(ISERROR(VLOOKUP(D123,Categorias!A:B,2,0)),"",VLOOKUP(D123,Categorias!A:B,2,0))</f>
        <v/>
      </c>
      <c r="F123" s="80"/>
      <c r="G123" s="5"/>
      <c r="H123" s="73">
        <f t="shared" si="1"/>
        <v>0</v>
      </c>
    </row>
    <row r="124" spans="4:8" ht="13.8">
      <c r="D124" s="1"/>
      <c r="E124" s="1" t="str">
        <f>IF(ISERROR(VLOOKUP(D124,Categorias!A:B,2,0)),"",VLOOKUP(D124,Categorias!A:B,2,0))</f>
        <v/>
      </c>
      <c r="F124" s="80"/>
      <c r="G124" s="5"/>
      <c r="H124" s="73">
        <f t="shared" si="1"/>
        <v>0</v>
      </c>
    </row>
    <row r="125" spans="4:8" ht="13.8">
      <c r="D125" s="1"/>
      <c r="E125" s="1" t="str">
        <f>IF(ISERROR(VLOOKUP(D125,Categorias!A:B,2,0)),"",VLOOKUP(D125,Categorias!A:B,2,0))</f>
        <v/>
      </c>
      <c r="F125" s="80"/>
      <c r="G125" s="5"/>
      <c r="H125" s="73">
        <f t="shared" si="1"/>
        <v>0</v>
      </c>
    </row>
    <row r="126" spans="4:8" ht="13.8">
      <c r="D126" s="1"/>
      <c r="E126" s="1" t="str">
        <f>IF(ISERROR(VLOOKUP(D126,Categorias!A:B,2,0)),"",VLOOKUP(D126,Categorias!A:B,2,0))</f>
        <v/>
      </c>
      <c r="F126" s="80"/>
      <c r="G126" s="5"/>
      <c r="H126" s="73">
        <f t="shared" si="1"/>
        <v>0</v>
      </c>
    </row>
    <row r="127" spans="4:8" ht="13.8">
      <c r="D127" s="1"/>
      <c r="E127" s="1" t="str">
        <f>IF(ISERROR(VLOOKUP(D127,Categorias!A:B,2,0)),"",VLOOKUP(D127,Categorias!A:B,2,0))</f>
        <v/>
      </c>
      <c r="F127" s="80"/>
      <c r="G127" s="5"/>
      <c r="H127" s="73">
        <f t="shared" si="1"/>
        <v>0</v>
      </c>
    </row>
    <row r="128" spans="4:8" ht="13.8">
      <c r="D128" s="1"/>
      <c r="E128" s="1" t="str">
        <f>IF(ISERROR(VLOOKUP(D128,Categorias!A:B,2,0)),"",VLOOKUP(D128,Categorias!A:B,2,0))</f>
        <v/>
      </c>
      <c r="F128" s="80"/>
      <c r="G128" s="5"/>
      <c r="H128" s="73">
        <f t="shared" si="1"/>
        <v>0</v>
      </c>
    </row>
    <row r="129" spans="4:8" ht="13.8">
      <c r="D129" s="1"/>
      <c r="E129" s="1" t="str">
        <f>IF(ISERROR(VLOOKUP(D129,Categorias!A:B,2,0)),"",VLOOKUP(D129,Categorias!A:B,2,0))</f>
        <v/>
      </c>
      <c r="F129" s="80"/>
      <c r="G129" s="5"/>
      <c r="H129" s="73">
        <f t="shared" si="1"/>
        <v>0</v>
      </c>
    </row>
    <row r="130" spans="4:8" ht="13.8">
      <c r="D130" s="1"/>
      <c r="E130" s="1" t="str">
        <f>IF(ISERROR(VLOOKUP(D130,Categorias!A:B,2,0)),"",VLOOKUP(D130,Categorias!A:B,2,0))</f>
        <v/>
      </c>
      <c r="F130" s="80"/>
      <c r="G130" s="5"/>
      <c r="H130" s="73">
        <f t="shared" si="1"/>
        <v>0</v>
      </c>
    </row>
    <row r="131" spans="4:8" ht="13.8">
      <c r="D131" s="1"/>
      <c r="E131" s="1" t="str">
        <f>IF(ISERROR(VLOOKUP(D131,Categorias!A:B,2,0)),"",VLOOKUP(D131,Categorias!A:B,2,0))</f>
        <v/>
      </c>
      <c r="F131" s="80"/>
      <c r="G131" s="5"/>
      <c r="H131" s="73">
        <f t="shared" si="1"/>
        <v>0</v>
      </c>
    </row>
    <row r="132" spans="4:8" ht="13.8">
      <c r="D132" s="1"/>
      <c r="E132" s="1" t="str">
        <f>IF(ISERROR(VLOOKUP(D132,Categorias!A:B,2,0)),"",VLOOKUP(D132,Categorias!A:B,2,0))</f>
        <v/>
      </c>
      <c r="F132" s="80"/>
      <c r="G132" s="5"/>
      <c r="H132" s="73">
        <f t="shared" si="1"/>
        <v>0</v>
      </c>
    </row>
    <row r="133" spans="4:8" ht="13.8">
      <c r="D133" s="1"/>
      <c r="E133" s="1" t="str">
        <f>IF(ISERROR(VLOOKUP(D133,Categorias!A:B,2,0)),"",VLOOKUP(D133,Categorias!A:B,2,0))</f>
        <v/>
      </c>
      <c r="F133" s="80"/>
      <c r="G133" s="5"/>
      <c r="H133" s="73">
        <f t="shared" si="1"/>
        <v>0</v>
      </c>
    </row>
    <row r="134" spans="4:8" ht="13.8">
      <c r="D134" s="1"/>
      <c r="E134" s="1" t="str">
        <f>IF(ISERROR(VLOOKUP(D134,Categorias!A:B,2,0)),"",VLOOKUP(D134,Categorias!A:B,2,0))</f>
        <v/>
      </c>
      <c r="F134" s="80"/>
      <c r="G134" s="5"/>
      <c r="H134" s="73">
        <f t="shared" si="1"/>
        <v>0</v>
      </c>
    </row>
    <row r="135" spans="4:8" ht="13.8">
      <c r="D135" s="1"/>
      <c r="E135" s="1" t="str">
        <f>IF(ISERROR(VLOOKUP(D135,Categorias!A:B,2,0)),"",VLOOKUP(D135,Categorias!A:B,2,0))</f>
        <v/>
      </c>
      <c r="F135" s="80"/>
      <c r="G135" s="5"/>
      <c r="H135" s="73">
        <f t="shared" si="1"/>
        <v>0</v>
      </c>
    </row>
    <row r="136" spans="4:8" ht="13.8">
      <c r="D136" s="1"/>
      <c r="E136" s="1" t="str">
        <f>IF(ISERROR(VLOOKUP(D136,Categorias!A:B,2,0)),"",VLOOKUP(D136,Categorias!A:B,2,0))</f>
        <v/>
      </c>
      <c r="F136" s="80"/>
      <c r="G136" s="5"/>
      <c r="H136" s="73">
        <f t="shared" si="1"/>
        <v>0</v>
      </c>
    </row>
    <row r="137" spans="4:8" ht="13.8">
      <c r="D137" s="1"/>
      <c r="E137" s="1" t="str">
        <f>IF(ISERROR(VLOOKUP(D137,Categorias!A:B,2,0)),"",VLOOKUP(D137,Categorias!A:B,2,0))</f>
        <v/>
      </c>
      <c r="F137" s="80"/>
      <c r="G137" s="5"/>
      <c r="H137" s="73">
        <f t="shared" si="1"/>
        <v>0</v>
      </c>
    </row>
    <row r="138" spans="4:8" ht="13.8">
      <c r="D138" s="1"/>
      <c r="E138" s="1" t="str">
        <f>IF(ISERROR(VLOOKUP(D138,Categorias!A:B,2,0)),"",VLOOKUP(D138,Categorias!A:B,2,0))</f>
        <v/>
      </c>
      <c r="F138" s="80"/>
      <c r="G138" s="5"/>
      <c r="H138" s="73">
        <f t="shared" si="1"/>
        <v>0</v>
      </c>
    </row>
    <row r="139" spans="4:8" ht="13.8">
      <c r="D139" s="1"/>
      <c r="E139" s="1" t="str">
        <f>IF(ISERROR(VLOOKUP(D139,Categorias!A:B,2,0)),"",VLOOKUP(D139,Categorias!A:B,2,0))</f>
        <v/>
      </c>
      <c r="F139" s="80"/>
      <c r="G139" s="5"/>
      <c r="H139" s="73">
        <f t="shared" si="1"/>
        <v>0</v>
      </c>
    </row>
    <row r="140" spans="4:8" ht="13.8">
      <c r="D140" s="1"/>
      <c r="E140" s="1" t="str">
        <f>IF(ISERROR(VLOOKUP(D140,Categorias!A:B,2,0)),"",VLOOKUP(D140,Categorias!A:B,2,0))</f>
        <v/>
      </c>
      <c r="F140" s="80"/>
      <c r="G140" s="5"/>
      <c r="H140" s="73">
        <f t="shared" si="1"/>
        <v>0</v>
      </c>
    </row>
    <row r="141" spans="4:8" ht="13.8">
      <c r="D141" s="1"/>
      <c r="E141" s="1" t="str">
        <f>IF(ISERROR(VLOOKUP(D141,Categorias!A:B,2,0)),"",VLOOKUP(D141,Categorias!A:B,2,0))</f>
        <v/>
      </c>
      <c r="F141" s="80"/>
      <c r="G141" s="5"/>
      <c r="H141" s="73">
        <f t="shared" si="1"/>
        <v>0</v>
      </c>
    </row>
    <row r="142" spans="4:8" ht="13.8">
      <c r="D142" s="1"/>
      <c r="E142" s="1" t="str">
        <f>IF(ISERROR(VLOOKUP(D142,Categorias!A:B,2,0)),"",VLOOKUP(D142,Categorias!A:B,2,0))</f>
        <v/>
      </c>
      <c r="F142" s="80"/>
      <c r="G142" s="5"/>
      <c r="H142" s="73">
        <f t="shared" ref="H142:H205" si="2">H141+F142-G142</f>
        <v>0</v>
      </c>
    </row>
    <row r="143" spans="4:8" ht="13.8">
      <c r="D143" s="1"/>
      <c r="E143" s="1" t="str">
        <f>IF(ISERROR(VLOOKUP(D143,Categorias!A:B,2,0)),"",VLOOKUP(D143,Categorias!A:B,2,0))</f>
        <v/>
      </c>
      <c r="F143" s="80"/>
      <c r="G143" s="5"/>
      <c r="H143" s="73">
        <f t="shared" si="2"/>
        <v>0</v>
      </c>
    </row>
    <row r="144" spans="4:8" ht="13.8">
      <c r="D144" s="1"/>
      <c r="E144" s="1" t="str">
        <f>IF(ISERROR(VLOOKUP(D144,Categorias!A:B,2,0)),"",VLOOKUP(D144,Categorias!A:B,2,0))</f>
        <v/>
      </c>
      <c r="F144" s="80"/>
      <c r="G144" s="5"/>
      <c r="H144" s="73">
        <f t="shared" si="2"/>
        <v>0</v>
      </c>
    </row>
    <row r="145" spans="4:8" ht="13.8">
      <c r="D145" s="1"/>
      <c r="E145" s="1" t="str">
        <f>IF(ISERROR(VLOOKUP(D145,Categorias!A:B,2,0)),"",VLOOKUP(D145,Categorias!A:B,2,0))</f>
        <v/>
      </c>
      <c r="F145" s="80"/>
      <c r="G145" s="5"/>
      <c r="H145" s="73">
        <f t="shared" si="2"/>
        <v>0</v>
      </c>
    </row>
    <row r="146" spans="4:8" ht="13.8">
      <c r="D146" s="1"/>
      <c r="E146" s="1" t="str">
        <f>IF(ISERROR(VLOOKUP(D146,Categorias!A:B,2,0)),"",VLOOKUP(D146,Categorias!A:B,2,0))</f>
        <v/>
      </c>
      <c r="F146" s="80"/>
      <c r="G146" s="5"/>
      <c r="H146" s="73">
        <f t="shared" si="2"/>
        <v>0</v>
      </c>
    </row>
    <row r="147" spans="4:8" ht="13.8">
      <c r="D147" s="1"/>
      <c r="E147" s="1" t="str">
        <f>IF(ISERROR(VLOOKUP(D147,Categorias!A:B,2,0)),"",VLOOKUP(D147,Categorias!A:B,2,0))</f>
        <v/>
      </c>
      <c r="F147" s="80"/>
      <c r="G147" s="5"/>
      <c r="H147" s="73">
        <f t="shared" si="2"/>
        <v>0</v>
      </c>
    </row>
    <row r="148" spans="4:8" ht="13.8">
      <c r="D148" s="1"/>
      <c r="E148" s="1" t="str">
        <f>IF(ISERROR(VLOOKUP(D148,Categorias!A:B,2,0)),"",VLOOKUP(D148,Categorias!A:B,2,0))</f>
        <v/>
      </c>
      <c r="F148" s="80"/>
      <c r="G148" s="5"/>
      <c r="H148" s="73">
        <f t="shared" si="2"/>
        <v>0</v>
      </c>
    </row>
    <row r="149" spans="4:8" ht="13.8">
      <c r="D149" s="1"/>
      <c r="E149" s="1" t="str">
        <f>IF(ISERROR(VLOOKUP(D149,Categorias!A:B,2,0)),"",VLOOKUP(D149,Categorias!A:B,2,0))</f>
        <v/>
      </c>
      <c r="F149" s="80"/>
      <c r="G149" s="5"/>
      <c r="H149" s="73">
        <f t="shared" si="2"/>
        <v>0</v>
      </c>
    </row>
    <row r="150" spans="4:8" ht="13.8">
      <c r="D150" s="1"/>
      <c r="E150" s="1" t="str">
        <f>IF(ISERROR(VLOOKUP(D150,Categorias!A:B,2,0)),"",VLOOKUP(D150,Categorias!A:B,2,0))</f>
        <v/>
      </c>
      <c r="F150" s="80"/>
      <c r="G150" s="5"/>
      <c r="H150" s="73">
        <f t="shared" si="2"/>
        <v>0</v>
      </c>
    </row>
    <row r="151" spans="4:8" ht="13.8">
      <c r="D151" s="1"/>
      <c r="E151" s="1" t="str">
        <f>IF(ISERROR(VLOOKUP(D151,Categorias!A:B,2,0)),"",VLOOKUP(D151,Categorias!A:B,2,0))</f>
        <v/>
      </c>
      <c r="F151" s="80"/>
      <c r="G151" s="5"/>
      <c r="H151" s="73">
        <f t="shared" si="2"/>
        <v>0</v>
      </c>
    </row>
    <row r="152" spans="4:8" ht="13.8">
      <c r="D152" s="1"/>
      <c r="E152" s="1" t="str">
        <f>IF(ISERROR(VLOOKUP(D152,Categorias!A:B,2,0)),"",VLOOKUP(D152,Categorias!A:B,2,0))</f>
        <v/>
      </c>
      <c r="F152" s="80"/>
      <c r="G152" s="5"/>
      <c r="H152" s="73">
        <f t="shared" si="2"/>
        <v>0</v>
      </c>
    </row>
    <row r="153" spans="4:8" ht="13.8">
      <c r="D153" s="1"/>
      <c r="E153" s="1" t="str">
        <f>IF(ISERROR(VLOOKUP(D153,Categorias!A:B,2,0)),"",VLOOKUP(D153,Categorias!A:B,2,0))</f>
        <v/>
      </c>
      <c r="F153" s="80"/>
      <c r="G153" s="5"/>
      <c r="H153" s="73">
        <f t="shared" si="2"/>
        <v>0</v>
      </c>
    </row>
    <row r="154" spans="4:8" ht="13.8">
      <c r="D154" s="1"/>
      <c r="E154" s="1" t="str">
        <f>IF(ISERROR(VLOOKUP(D154,Categorias!A:B,2,0)),"",VLOOKUP(D154,Categorias!A:B,2,0))</f>
        <v/>
      </c>
      <c r="F154" s="80"/>
      <c r="G154" s="5"/>
      <c r="H154" s="73">
        <f t="shared" si="2"/>
        <v>0</v>
      </c>
    </row>
    <row r="155" spans="4:8" ht="13.8">
      <c r="D155" s="1"/>
      <c r="E155" s="1" t="str">
        <f>IF(ISERROR(VLOOKUP(D155,Categorias!A:B,2,0)),"",VLOOKUP(D155,Categorias!A:B,2,0))</f>
        <v/>
      </c>
      <c r="F155" s="80"/>
      <c r="G155" s="5"/>
      <c r="H155" s="73">
        <f t="shared" si="2"/>
        <v>0</v>
      </c>
    </row>
    <row r="156" spans="4:8" ht="13.8">
      <c r="D156" s="1"/>
      <c r="E156" s="1" t="str">
        <f>IF(ISERROR(VLOOKUP(D156,Categorias!A:B,2,0)),"",VLOOKUP(D156,Categorias!A:B,2,0))</f>
        <v/>
      </c>
      <c r="F156" s="80"/>
      <c r="G156" s="5"/>
      <c r="H156" s="73">
        <f t="shared" si="2"/>
        <v>0</v>
      </c>
    </row>
    <row r="157" spans="4:8" ht="13.8">
      <c r="D157" s="1"/>
      <c r="E157" s="1" t="str">
        <f>IF(ISERROR(VLOOKUP(D157,Categorias!A:B,2,0)),"",VLOOKUP(D157,Categorias!A:B,2,0))</f>
        <v/>
      </c>
      <c r="F157" s="80"/>
      <c r="G157" s="5"/>
      <c r="H157" s="73">
        <f t="shared" si="2"/>
        <v>0</v>
      </c>
    </row>
    <row r="158" spans="4:8" ht="13.8">
      <c r="D158" s="1"/>
      <c r="E158" s="1" t="str">
        <f>IF(ISERROR(VLOOKUP(D158,Categorias!A:B,2,0)),"",VLOOKUP(D158,Categorias!A:B,2,0))</f>
        <v/>
      </c>
      <c r="F158" s="80"/>
      <c r="G158" s="5"/>
      <c r="H158" s="73">
        <f t="shared" si="2"/>
        <v>0</v>
      </c>
    </row>
    <row r="159" spans="4:8" ht="13.8">
      <c r="D159" s="1"/>
      <c r="E159" s="1" t="str">
        <f>IF(ISERROR(VLOOKUP(D159,Categorias!A:B,2,0)),"",VLOOKUP(D159,Categorias!A:B,2,0))</f>
        <v/>
      </c>
      <c r="F159" s="80"/>
      <c r="G159" s="5"/>
      <c r="H159" s="73">
        <f t="shared" si="2"/>
        <v>0</v>
      </c>
    </row>
    <row r="160" spans="4:8" ht="13.8">
      <c r="D160" s="1"/>
      <c r="E160" s="1" t="str">
        <f>IF(ISERROR(VLOOKUP(D160,Categorias!A:B,2,0)),"",VLOOKUP(D160,Categorias!A:B,2,0))</f>
        <v/>
      </c>
      <c r="F160" s="80"/>
      <c r="G160" s="5"/>
      <c r="H160" s="73">
        <f t="shared" si="2"/>
        <v>0</v>
      </c>
    </row>
    <row r="161" spans="4:8" ht="13.8">
      <c r="D161" s="1"/>
      <c r="E161" s="1" t="str">
        <f>IF(ISERROR(VLOOKUP(D161,Categorias!A:B,2,0)),"",VLOOKUP(D161,Categorias!A:B,2,0))</f>
        <v/>
      </c>
      <c r="F161" s="80"/>
      <c r="G161" s="5"/>
      <c r="H161" s="73">
        <f t="shared" si="2"/>
        <v>0</v>
      </c>
    </row>
    <row r="162" spans="4:8" ht="13.8">
      <c r="D162" s="1"/>
      <c r="E162" s="1" t="str">
        <f>IF(ISERROR(VLOOKUP(D162,Categorias!A:B,2,0)),"",VLOOKUP(D162,Categorias!A:B,2,0))</f>
        <v/>
      </c>
      <c r="F162" s="80"/>
      <c r="G162" s="5"/>
      <c r="H162" s="73">
        <f t="shared" si="2"/>
        <v>0</v>
      </c>
    </row>
    <row r="163" spans="4:8" ht="13.8">
      <c r="D163" s="1"/>
      <c r="E163" s="1" t="str">
        <f>IF(ISERROR(VLOOKUP(D163,Categorias!A:B,2,0)),"",VLOOKUP(D163,Categorias!A:B,2,0))</f>
        <v/>
      </c>
      <c r="F163" s="80"/>
      <c r="G163" s="5"/>
      <c r="H163" s="73">
        <f t="shared" si="2"/>
        <v>0</v>
      </c>
    </row>
    <row r="164" spans="4:8" ht="13.8">
      <c r="D164" s="1"/>
      <c r="E164" s="1" t="str">
        <f>IF(ISERROR(VLOOKUP(D164,Categorias!A:B,2,0)),"",VLOOKUP(D164,Categorias!A:B,2,0))</f>
        <v/>
      </c>
      <c r="F164" s="80"/>
      <c r="G164" s="5"/>
      <c r="H164" s="73">
        <f t="shared" si="2"/>
        <v>0</v>
      </c>
    </row>
    <row r="165" spans="4:8" ht="13.8">
      <c r="D165" s="1"/>
      <c r="E165" s="1" t="str">
        <f>IF(ISERROR(VLOOKUP(D165,Categorias!A:B,2,0)),"",VLOOKUP(D165,Categorias!A:B,2,0))</f>
        <v/>
      </c>
      <c r="F165" s="80"/>
      <c r="G165" s="5"/>
      <c r="H165" s="73">
        <f t="shared" si="2"/>
        <v>0</v>
      </c>
    </row>
    <row r="166" spans="4:8" ht="13.8">
      <c r="D166" s="1"/>
      <c r="E166" s="1" t="str">
        <f>IF(ISERROR(VLOOKUP(D166,Categorias!A:B,2,0)),"",VLOOKUP(D166,Categorias!A:B,2,0))</f>
        <v/>
      </c>
      <c r="F166" s="80"/>
      <c r="G166" s="5"/>
      <c r="H166" s="73">
        <f t="shared" si="2"/>
        <v>0</v>
      </c>
    </row>
    <row r="167" spans="4:8" ht="13.8">
      <c r="D167" s="1"/>
      <c r="E167" s="1" t="str">
        <f>IF(ISERROR(VLOOKUP(D167,Categorias!A:B,2,0)),"",VLOOKUP(D167,Categorias!A:B,2,0))</f>
        <v/>
      </c>
      <c r="F167" s="80"/>
      <c r="G167" s="5"/>
      <c r="H167" s="73">
        <f t="shared" si="2"/>
        <v>0</v>
      </c>
    </row>
    <row r="168" spans="4:8" ht="13.8">
      <c r="D168" s="1"/>
      <c r="E168" s="1" t="str">
        <f>IF(ISERROR(VLOOKUP(D168,Categorias!A:B,2,0)),"",VLOOKUP(D168,Categorias!A:B,2,0))</f>
        <v/>
      </c>
      <c r="F168" s="80"/>
      <c r="G168" s="5"/>
      <c r="H168" s="73">
        <f t="shared" si="2"/>
        <v>0</v>
      </c>
    </row>
    <row r="169" spans="4:8" ht="13.8">
      <c r="D169" s="1"/>
      <c r="E169" s="1" t="str">
        <f>IF(ISERROR(VLOOKUP(D169,Categorias!A:B,2,0)),"",VLOOKUP(D169,Categorias!A:B,2,0))</f>
        <v/>
      </c>
      <c r="F169" s="80"/>
      <c r="G169" s="5"/>
      <c r="H169" s="73">
        <f t="shared" si="2"/>
        <v>0</v>
      </c>
    </row>
    <row r="170" spans="4:8" ht="13.8">
      <c r="D170" s="1"/>
      <c r="E170" s="1" t="str">
        <f>IF(ISERROR(VLOOKUP(D170,Categorias!A:B,2,0)),"",VLOOKUP(D170,Categorias!A:B,2,0))</f>
        <v/>
      </c>
      <c r="F170" s="80"/>
      <c r="G170" s="5"/>
      <c r="H170" s="73">
        <f t="shared" si="2"/>
        <v>0</v>
      </c>
    </row>
    <row r="171" spans="4:8" ht="13.8">
      <c r="D171" s="1"/>
      <c r="E171" s="1" t="str">
        <f>IF(ISERROR(VLOOKUP(D171,Categorias!A:B,2,0)),"",VLOOKUP(D171,Categorias!A:B,2,0))</f>
        <v/>
      </c>
      <c r="F171" s="80"/>
      <c r="G171" s="5"/>
      <c r="H171" s="73">
        <f t="shared" si="2"/>
        <v>0</v>
      </c>
    </row>
    <row r="172" spans="4:8" ht="13.8">
      <c r="D172" s="1"/>
      <c r="E172" s="1" t="str">
        <f>IF(ISERROR(VLOOKUP(D172,Categorias!A:B,2,0)),"",VLOOKUP(D172,Categorias!A:B,2,0))</f>
        <v/>
      </c>
      <c r="F172" s="80"/>
      <c r="G172" s="5"/>
      <c r="H172" s="73">
        <f t="shared" si="2"/>
        <v>0</v>
      </c>
    </row>
    <row r="173" spans="4:8" ht="13.8">
      <c r="D173" s="1"/>
      <c r="E173" s="1" t="str">
        <f>IF(ISERROR(VLOOKUP(D173,Categorias!A:B,2,0)),"",VLOOKUP(D173,Categorias!A:B,2,0))</f>
        <v/>
      </c>
      <c r="F173" s="80"/>
      <c r="G173" s="5"/>
      <c r="H173" s="73">
        <f t="shared" si="2"/>
        <v>0</v>
      </c>
    </row>
    <row r="174" spans="4:8" ht="13.8">
      <c r="D174" s="1"/>
      <c r="E174" s="1" t="str">
        <f>IF(ISERROR(VLOOKUP(D174,Categorias!A:B,2,0)),"",VLOOKUP(D174,Categorias!A:B,2,0))</f>
        <v/>
      </c>
      <c r="F174" s="80"/>
      <c r="G174" s="5"/>
      <c r="H174" s="73">
        <f t="shared" si="2"/>
        <v>0</v>
      </c>
    </row>
    <row r="175" spans="4:8" ht="13.8">
      <c r="D175" s="1"/>
      <c r="E175" s="1" t="str">
        <f>IF(ISERROR(VLOOKUP(D175,Categorias!A:B,2,0)),"",VLOOKUP(D175,Categorias!A:B,2,0))</f>
        <v/>
      </c>
      <c r="F175" s="80"/>
      <c r="G175" s="5"/>
      <c r="H175" s="73">
        <f t="shared" si="2"/>
        <v>0</v>
      </c>
    </row>
    <row r="176" spans="4:8" ht="13.8">
      <c r="D176" s="1"/>
      <c r="E176" s="1" t="str">
        <f>IF(ISERROR(VLOOKUP(D176,Categorias!A:B,2,0)),"",VLOOKUP(D176,Categorias!A:B,2,0))</f>
        <v/>
      </c>
      <c r="F176" s="80"/>
      <c r="G176" s="5"/>
      <c r="H176" s="73">
        <f t="shared" si="2"/>
        <v>0</v>
      </c>
    </row>
    <row r="177" spans="4:8" ht="13.8">
      <c r="D177" s="1"/>
      <c r="E177" s="1" t="str">
        <f>IF(ISERROR(VLOOKUP(D177,Categorias!A:B,2,0)),"",VLOOKUP(D177,Categorias!A:B,2,0))</f>
        <v/>
      </c>
      <c r="F177" s="80"/>
      <c r="G177" s="5"/>
      <c r="H177" s="73">
        <f t="shared" si="2"/>
        <v>0</v>
      </c>
    </row>
    <row r="178" spans="4:8" ht="13.8">
      <c r="D178" s="1"/>
      <c r="E178" s="1" t="str">
        <f>IF(ISERROR(VLOOKUP(D178,Categorias!A:B,2,0)),"",VLOOKUP(D178,Categorias!A:B,2,0))</f>
        <v/>
      </c>
      <c r="F178" s="80"/>
      <c r="G178" s="5"/>
      <c r="H178" s="73">
        <f t="shared" si="2"/>
        <v>0</v>
      </c>
    </row>
    <row r="179" spans="4:8" ht="13.8">
      <c r="D179" s="1"/>
      <c r="E179" s="1" t="str">
        <f>IF(ISERROR(VLOOKUP(D179,Categorias!A:B,2,0)),"",VLOOKUP(D179,Categorias!A:B,2,0))</f>
        <v/>
      </c>
      <c r="F179" s="80"/>
      <c r="G179" s="5"/>
      <c r="H179" s="73">
        <f t="shared" si="2"/>
        <v>0</v>
      </c>
    </row>
    <row r="180" spans="4:8" ht="13.8">
      <c r="D180" s="1"/>
      <c r="E180" s="1" t="str">
        <f>IF(ISERROR(VLOOKUP(D180,Categorias!A:B,2,0)),"",VLOOKUP(D180,Categorias!A:B,2,0))</f>
        <v/>
      </c>
      <c r="F180" s="80"/>
      <c r="G180" s="5"/>
      <c r="H180" s="73">
        <f t="shared" si="2"/>
        <v>0</v>
      </c>
    </row>
    <row r="181" spans="4:8" ht="13.8">
      <c r="D181" s="1"/>
      <c r="E181" s="1" t="str">
        <f>IF(ISERROR(VLOOKUP(D181,Categorias!A:B,2,0)),"",VLOOKUP(D181,Categorias!A:B,2,0))</f>
        <v/>
      </c>
      <c r="F181" s="80"/>
      <c r="G181" s="5"/>
      <c r="H181" s="73">
        <f t="shared" si="2"/>
        <v>0</v>
      </c>
    </row>
    <row r="182" spans="4:8" ht="13.8">
      <c r="D182" s="1"/>
      <c r="E182" s="1" t="str">
        <f>IF(ISERROR(VLOOKUP(D182,Categorias!A:B,2,0)),"",VLOOKUP(D182,Categorias!A:B,2,0))</f>
        <v/>
      </c>
      <c r="F182" s="80"/>
      <c r="G182" s="5"/>
      <c r="H182" s="73">
        <f t="shared" si="2"/>
        <v>0</v>
      </c>
    </row>
    <row r="183" spans="4:8" ht="13.8">
      <c r="D183" s="1"/>
      <c r="E183" s="1" t="str">
        <f>IF(ISERROR(VLOOKUP(D183,Categorias!A:B,2,0)),"",VLOOKUP(D183,Categorias!A:B,2,0))</f>
        <v/>
      </c>
      <c r="F183" s="80"/>
      <c r="G183" s="5"/>
      <c r="H183" s="73">
        <f t="shared" si="2"/>
        <v>0</v>
      </c>
    </row>
    <row r="184" spans="4:8" ht="13.8">
      <c r="D184" s="1"/>
      <c r="E184" s="1" t="str">
        <f>IF(ISERROR(VLOOKUP(D184,Categorias!A:B,2,0)),"",VLOOKUP(D184,Categorias!A:B,2,0))</f>
        <v/>
      </c>
      <c r="F184" s="80"/>
      <c r="G184" s="5"/>
      <c r="H184" s="73">
        <f t="shared" si="2"/>
        <v>0</v>
      </c>
    </row>
    <row r="185" spans="4:8" ht="13.8">
      <c r="D185" s="1"/>
      <c r="E185" s="1" t="str">
        <f>IF(ISERROR(VLOOKUP(D185,Categorias!A:B,2,0)),"",VLOOKUP(D185,Categorias!A:B,2,0))</f>
        <v/>
      </c>
      <c r="F185" s="80"/>
      <c r="G185" s="5"/>
      <c r="H185" s="73">
        <f t="shared" si="2"/>
        <v>0</v>
      </c>
    </row>
    <row r="186" spans="4:8" ht="13.8">
      <c r="D186" s="1"/>
      <c r="E186" s="1" t="str">
        <f>IF(ISERROR(VLOOKUP(D186,Categorias!A:B,2,0)),"",VLOOKUP(D186,Categorias!A:B,2,0))</f>
        <v/>
      </c>
      <c r="F186" s="80"/>
      <c r="G186" s="5"/>
      <c r="H186" s="73">
        <f t="shared" si="2"/>
        <v>0</v>
      </c>
    </row>
    <row r="187" spans="4:8" ht="13.8">
      <c r="D187" s="1"/>
      <c r="E187" s="1" t="str">
        <f>IF(ISERROR(VLOOKUP(D187,Categorias!A:B,2,0)),"",VLOOKUP(D187,Categorias!A:B,2,0))</f>
        <v/>
      </c>
      <c r="F187" s="80"/>
      <c r="G187" s="5"/>
      <c r="H187" s="73">
        <f t="shared" si="2"/>
        <v>0</v>
      </c>
    </row>
    <row r="188" spans="4:8" ht="13.8">
      <c r="D188" s="1"/>
      <c r="E188" s="1" t="str">
        <f>IF(ISERROR(VLOOKUP(D188,Categorias!A:B,2,0)),"",VLOOKUP(D188,Categorias!A:B,2,0))</f>
        <v/>
      </c>
      <c r="F188" s="80"/>
      <c r="G188" s="5"/>
      <c r="H188" s="73">
        <f t="shared" si="2"/>
        <v>0</v>
      </c>
    </row>
    <row r="189" spans="4:8" ht="13.8">
      <c r="D189" s="1"/>
      <c r="E189" s="1" t="str">
        <f>IF(ISERROR(VLOOKUP(D189,Categorias!A:B,2,0)),"",VLOOKUP(D189,Categorias!A:B,2,0))</f>
        <v/>
      </c>
      <c r="F189" s="80"/>
      <c r="G189" s="5"/>
      <c r="H189" s="73">
        <f t="shared" si="2"/>
        <v>0</v>
      </c>
    </row>
    <row r="190" spans="4:8" ht="13.8">
      <c r="D190" s="1"/>
      <c r="E190" s="1" t="str">
        <f>IF(ISERROR(VLOOKUP(D190,Categorias!A:B,2,0)),"",VLOOKUP(D190,Categorias!A:B,2,0))</f>
        <v/>
      </c>
      <c r="F190" s="80"/>
      <c r="G190" s="5"/>
      <c r="H190" s="73">
        <f t="shared" si="2"/>
        <v>0</v>
      </c>
    </row>
    <row r="191" spans="4:8" ht="13.8">
      <c r="D191" s="1"/>
      <c r="E191" s="1" t="str">
        <f>IF(ISERROR(VLOOKUP(D191,Categorias!A:B,2,0)),"",VLOOKUP(D191,Categorias!A:B,2,0))</f>
        <v/>
      </c>
      <c r="F191" s="80"/>
      <c r="G191" s="5"/>
      <c r="H191" s="73">
        <f t="shared" si="2"/>
        <v>0</v>
      </c>
    </row>
    <row r="192" spans="4:8" ht="13.8">
      <c r="D192" s="1"/>
      <c r="E192" s="1" t="str">
        <f>IF(ISERROR(VLOOKUP(D192,Categorias!A:B,2,0)),"",VLOOKUP(D192,Categorias!A:B,2,0))</f>
        <v/>
      </c>
      <c r="F192" s="80"/>
      <c r="G192" s="5"/>
      <c r="H192" s="73">
        <f t="shared" si="2"/>
        <v>0</v>
      </c>
    </row>
    <row r="193" spans="4:8" ht="13.8">
      <c r="D193" s="1"/>
      <c r="E193" s="1" t="str">
        <f>IF(ISERROR(VLOOKUP(D193,Categorias!A:B,2,0)),"",VLOOKUP(D193,Categorias!A:B,2,0))</f>
        <v/>
      </c>
      <c r="F193" s="80"/>
      <c r="G193" s="5"/>
      <c r="H193" s="73">
        <f t="shared" si="2"/>
        <v>0</v>
      </c>
    </row>
    <row r="194" spans="4:8" ht="13.8">
      <c r="D194" s="1"/>
      <c r="E194" s="1" t="str">
        <f>IF(ISERROR(VLOOKUP(D194,Categorias!A:B,2,0)),"",VLOOKUP(D194,Categorias!A:B,2,0))</f>
        <v/>
      </c>
      <c r="F194" s="80"/>
      <c r="G194" s="5"/>
      <c r="H194" s="73">
        <f t="shared" si="2"/>
        <v>0</v>
      </c>
    </row>
    <row r="195" spans="4:8" ht="13.8">
      <c r="D195" s="1"/>
      <c r="E195" s="1" t="str">
        <f>IF(ISERROR(VLOOKUP(D195,Categorias!A:B,2,0)),"",VLOOKUP(D195,Categorias!A:B,2,0))</f>
        <v/>
      </c>
      <c r="F195" s="80"/>
      <c r="G195" s="5"/>
      <c r="H195" s="73">
        <f t="shared" si="2"/>
        <v>0</v>
      </c>
    </row>
    <row r="196" spans="4:8" ht="13.8">
      <c r="D196" s="1"/>
      <c r="E196" s="1" t="str">
        <f>IF(ISERROR(VLOOKUP(D196,Categorias!A:B,2,0)),"",VLOOKUP(D196,Categorias!A:B,2,0))</f>
        <v/>
      </c>
      <c r="F196" s="80"/>
      <c r="G196" s="5"/>
      <c r="H196" s="73">
        <f t="shared" si="2"/>
        <v>0</v>
      </c>
    </row>
    <row r="197" spans="4:8" ht="13.8">
      <c r="D197" s="1"/>
      <c r="E197" s="1" t="str">
        <f>IF(ISERROR(VLOOKUP(D197,Categorias!A:B,2,0)),"",VLOOKUP(D197,Categorias!A:B,2,0))</f>
        <v/>
      </c>
      <c r="F197" s="80"/>
      <c r="G197" s="5"/>
      <c r="H197" s="73">
        <f t="shared" si="2"/>
        <v>0</v>
      </c>
    </row>
    <row r="198" spans="4:8" ht="13.8">
      <c r="D198" s="1"/>
      <c r="E198" s="1" t="str">
        <f>IF(ISERROR(VLOOKUP(D198,Categorias!A:B,2,0)),"",VLOOKUP(D198,Categorias!A:B,2,0))</f>
        <v/>
      </c>
      <c r="F198" s="80"/>
      <c r="G198" s="5"/>
      <c r="H198" s="73">
        <f t="shared" si="2"/>
        <v>0</v>
      </c>
    </row>
    <row r="199" spans="4:8" ht="13.8">
      <c r="D199" s="1"/>
      <c r="E199" s="1" t="str">
        <f>IF(ISERROR(VLOOKUP(D199,Categorias!A:B,2,0)),"",VLOOKUP(D199,Categorias!A:B,2,0))</f>
        <v/>
      </c>
      <c r="F199" s="80"/>
      <c r="G199" s="5"/>
      <c r="H199" s="73">
        <f t="shared" si="2"/>
        <v>0</v>
      </c>
    </row>
    <row r="200" spans="4:8" ht="13.8">
      <c r="D200" s="1"/>
      <c r="E200" s="1" t="str">
        <f>IF(ISERROR(VLOOKUP(D200,Categorias!A:B,2,0)),"",VLOOKUP(D200,Categorias!A:B,2,0))</f>
        <v/>
      </c>
      <c r="F200" s="80"/>
      <c r="G200" s="5"/>
      <c r="H200" s="73">
        <f t="shared" si="2"/>
        <v>0</v>
      </c>
    </row>
    <row r="201" spans="4:8" ht="13.8">
      <c r="D201" s="1"/>
      <c r="E201" s="1" t="str">
        <f>IF(ISERROR(VLOOKUP(D201,Categorias!A:B,2,0)),"",VLOOKUP(D201,Categorias!A:B,2,0))</f>
        <v/>
      </c>
      <c r="F201" s="80"/>
      <c r="G201" s="5"/>
      <c r="H201" s="73">
        <f t="shared" si="2"/>
        <v>0</v>
      </c>
    </row>
    <row r="202" spans="4:8" ht="13.8">
      <c r="D202" s="1"/>
      <c r="E202" s="1" t="str">
        <f>IF(ISERROR(VLOOKUP(D202,Categorias!A:B,2,0)),"",VLOOKUP(D202,Categorias!A:B,2,0))</f>
        <v/>
      </c>
      <c r="F202" s="80"/>
      <c r="G202" s="5"/>
      <c r="H202" s="73">
        <f t="shared" si="2"/>
        <v>0</v>
      </c>
    </row>
    <row r="203" spans="4:8" ht="13.8">
      <c r="D203" s="1"/>
      <c r="E203" s="1" t="str">
        <f>IF(ISERROR(VLOOKUP(D203,Categorias!A:B,2,0)),"",VLOOKUP(D203,Categorias!A:B,2,0))</f>
        <v/>
      </c>
      <c r="F203" s="80"/>
      <c r="G203" s="5"/>
      <c r="H203" s="73">
        <f t="shared" si="2"/>
        <v>0</v>
      </c>
    </row>
    <row r="204" spans="4:8" ht="13.8">
      <c r="D204" s="1"/>
      <c r="E204" s="1" t="str">
        <f>IF(ISERROR(VLOOKUP(D204,Categorias!A:B,2,0)),"",VLOOKUP(D204,Categorias!A:B,2,0))</f>
        <v/>
      </c>
      <c r="F204" s="80"/>
      <c r="G204" s="5"/>
      <c r="H204" s="73">
        <f t="shared" si="2"/>
        <v>0</v>
      </c>
    </row>
    <row r="205" spans="4:8" ht="13.8">
      <c r="D205" s="1"/>
      <c r="E205" s="1" t="str">
        <f>IF(ISERROR(VLOOKUP(D205,Categorias!A:B,2,0)),"",VLOOKUP(D205,Categorias!A:B,2,0))</f>
        <v/>
      </c>
      <c r="F205" s="80"/>
      <c r="G205" s="5"/>
      <c r="H205" s="73">
        <f t="shared" si="2"/>
        <v>0</v>
      </c>
    </row>
    <row r="206" spans="4:8" ht="13.8">
      <c r="D206" s="1"/>
      <c r="E206" s="1" t="str">
        <f>IF(ISERROR(VLOOKUP(D206,Categorias!A:B,2,0)),"",VLOOKUP(D206,Categorias!A:B,2,0))</f>
        <v/>
      </c>
      <c r="F206" s="80"/>
      <c r="G206" s="5"/>
      <c r="H206" s="73">
        <f t="shared" ref="H206:H254" si="3">H205+F206-G206</f>
        <v>0</v>
      </c>
    </row>
    <row r="207" spans="4:8" ht="13.8">
      <c r="D207" s="1"/>
      <c r="E207" s="1" t="str">
        <f>IF(ISERROR(VLOOKUP(D207,Categorias!A:B,2,0)),"",VLOOKUP(D207,Categorias!A:B,2,0))</f>
        <v/>
      </c>
      <c r="F207" s="80"/>
      <c r="G207" s="5"/>
      <c r="H207" s="73">
        <f t="shared" si="3"/>
        <v>0</v>
      </c>
    </row>
    <row r="208" spans="4:8" ht="13.8">
      <c r="D208" s="1"/>
      <c r="E208" s="1" t="str">
        <f>IF(ISERROR(VLOOKUP(D208,Categorias!A:B,2,0)),"",VLOOKUP(D208,Categorias!A:B,2,0))</f>
        <v/>
      </c>
      <c r="F208" s="80"/>
      <c r="G208" s="5"/>
      <c r="H208" s="73">
        <f t="shared" si="3"/>
        <v>0</v>
      </c>
    </row>
    <row r="209" spans="4:8" ht="13.8">
      <c r="D209" s="1"/>
      <c r="E209" s="1" t="str">
        <f>IF(ISERROR(VLOOKUP(D209,Categorias!A:B,2,0)),"",VLOOKUP(D209,Categorias!A:B,2,0))</f>
        <v/>
      </c>
      <c r="F209" s="80"/>
      <c r="G209" s="5"/>
      <c r="H209" s="73">
        <f t="shared" si="3"/>
        <v>0</v>
      </c>
    </row>
    <row r="210" spans="4:8" ht="13.8">
      <c r="D210" s="1"/>
      <c r="E210" s="1" t="str">
        <f>IF(ISERROR(VLOOKUP(D210,Categorias!A:B,2,0)),"",VLOOKUP(D210,Categorias!A:B,2,0))</f>
        <v/>
      </c>
      <c r="F210" s="80"/>
      <c r="G210" s="5"/>
      <c r="H210" s="73">
        <f t="shared" si="3"/>
        <v>0</v>
      </c>
    </row>
    <row r="211" spans="4:8" ht="13.8">
      <c r="D211" s="1"/>
      <c r="E211" s="1" t="str">
        <f>IF(ISERROR(VLOOKUP(D211,Categorias!A:B,2,0)),"",VLOOKUP(D211,Categorias!A:B,2,0))</f>
        <v/>
      </c>
      <c r="F211" s="80"/>
      <c r="G211" s="5"/>
      <c r="H211" s="73">
        <f t="shared" si="3"/>
        <v>0</v>
      </c>
    </row>
    <row r="212" spans="4:8" ht="13.8">
      <c r="D212" s="1"/>
      <c r="E212" s="1" t="str">
        <f>IF(ISERROR(VLOOKUP(D212,Categorias!A:B,2,0)),"",VLOOKUP(D212,Categorias!A:B,2,0))</f>
        <v/>
      </c>
      <c r="F212" s="80"/>
      <c r="G212" s="5"/>
      <c r="H212" s="73">
        <f t="shared" si="3"/>
        <v>0</v>
      </c>
    </row>
    <row r="213" spans="4:8" ht="13.8">
      <c r="D213" s="1"/>
      <c r="E213" s="1" t="str">
        <f>IF(ISERROR(VLOOKUP(D213,Categorias!A:B,2,0)),"",VLOOKUP(D213,Categorias!A:B,2,0))</f>
        <v/>
      </c>
      <c r="F213" s="80"/>
      <c r="G213" s="5"/>
      <c r="H213" s="73">
        <f t="shared" si="3"/>
        <v>0</v>
      </c>
    </row>
    <row r="214" spans="4:8" ht="13.8">
      <c r="D214" s="1"/>
      <c r="E214" s="1" t="str">
        <f>IF(ISERROR(VLOOKUP(D214,Categorias!A:B,2,0)),"",VLOOKUP(D214,Categorias!A:B,2,0))</f>
        <v/>
      </c>
      <c r="F214" s="80"/>
      <c r="G214" s="5"/>
      <c r="H214" s="73">
        <f t="shared" si="3"/>
        <v>0</v>
      </c>
    </row>
    <row r="215" spans="4:8" ht="13.8">
      <c r="D215" s="1"/>
      <c r="E215" s="1" t="str">
        <f>IF(ISERROR(VLOOKUP(D215,Categorias!A:B,2,0)),"",VLOOKUP(D215,Categorias!A:B,2,0))</f>
        <v/>
      </c>
      <c r="F215" s="80"/>
      <c r="G215" s="5"/>
      <c r="H215" s="73">
        <f t="shared" si="3"/>
        <v>0</v>
      </c>
    </row>
    <row r="216" spans="4:8" ht="13.8">
      <c r="D216" s="1"/>
      <c r="E216" s="1" t="str">
        <f>IF(ISERROR(VLOOKUP(D216,Categorias!A:B,2,0)),"",VLOOKUP(D216,Categorias!A:B,2,0))</f>
        <v/>
      </c>
      <c r="F216" s="80"/>
      <c r="G216" s="5"/>
      <c r="H216" s="73">
        <f t="shared" si="3"/>
        <v>0</v>
      </c>
    </row>
    <row r="217" spans="4:8" ht="13.8">
      <c r="D217" s="1"/>
      <c r="E217" s="1" t="str">
        <f>IF(ISERROR(VLOOKUP(D217,Categorias!A:B,2,0)),"",VLOOKUP(D217,Categorias!A:B,2,0))</f>
        <v/>
      </c>
      <c r="F217" s="80"/>
      <c r="G217" s="5"/>
      <c r="H217" s="73">
        <f t="shared" si="3"/>
        <v>0</v>
      </c>
    </row>
    <row r="218" spans="4:8" ht="13.8">
      <c r="D218" s="1"/>
      <c r="E218" s="1" t="str">
        <f>IF(ISERROR(VLOOKUP(D218,Categorias!A:B,2,0)),"",VLOOKUP(D218,Categorias!A:B,2,0))</f>
        <v/>
      </c>
      <c r="F218" s="80"/>
      <c r="G218" s="5"/>
      <c r="H218" s="73">
        <f t="shared" si="3"/>
        <v>0</v>
      </c>
    </row>
    <row r="219" spans="4:8" ht="13.8">
      <c r="D219" s="1"/>
      <c r="E219" s="1" t="str">
        <f>IF(ISERROR(VLOOKUP(D219,Categorias!A:B,2,0)),"",VLOOKUP(D219,Categorias!A:B,2,0))</f>
        <v/>
      </c>
      <c r="F219" s="80"/>
      <c r="G219" s="5"/>
      <c r="H219" s="73">
        <f t="shared" si="3"/>
        <v>0</v>
      </c>
    </row>
    <row r="220" spans="4:8" ht="13.8">
      <c r="D220" s="1"/>
      <c r="E220" s="1" t="str">
        <f>IF(ISERROR(VLOOKUP(D220,Categorias!A:B,2,0)),"",VLOOKUP(D220,Categorias!A:B,2,0))</f>
        <v/>
      </c>
      <c r="F220" s="80"/>
      <c r="G220" s="5"/>
      <c r="H220" s="73">
        <f t="shared" si="3"/>
        <v>0</v>
      </c>
    </row>
    <row r="221" spans="4:8" ht="13.8">
      <c r="D221" s="1"/>
      <c r="E221" s="1" t="str">
        <f>IF(ISERROR(VLOOKUP(D221,Categorias!A:B,2,0)),"",VLOOKUP(D221,Categorias!A:B,2,0))</f>
        <v/>
      </c>
      <c r="F221" s="80"/>
      <c r="G221" s="5"/>
      <c r="H221" s="73">
        <f t="shared" si="3"/>
        <v>0</v>
      </c>
    </row>
    <row r="222" spans="4:8" ht="13.8">
      <c r="D222" s="1"/>
      <c r="E222" s="1" t="str">
        <f>IF(ISERROR(VLOOKUP(D222,Categorias!A:B,2,0)),"",VLOOKUP(D222,Categorias!A:B,2,0))</f>
        <v/>
      </c>
      <c r="F222" s="80"/>
      <c r="G222" s="5"/>
      <c r="H222" s="73">
        <f t="shared" si="3"/>
        <v>0</v>
      </c>
    </row>
    <row r="223" spans="4:8" ht="13.8">
      <c r="D223" s="1"/>
      <c r="E223" s="1" t="str">
        <f>IF(ISERROR(VLOOKUP(D223,Categorias!A:B,2,0)),"",VLOOKUP(D223,Categorias!A:B,2,0))</f>
        <v/>
      </c>
      <c r="F223" s="80"/>
      <c r="G223" s="5"/>
      <c r="H223" s="73">
        <f t="shared" si="3"/>
        <v>0</v>
      </c>
    </row>
    <row r="224" spans="4:8" ht="13.8">
      <c r="D224" s="1"/>
      <c r="E224" s="1" t="str">
        <f>IF(ISERROR(VLOOKUP(D224,Categorias!A:B,2,0)),"",VLOOKUP(D224,Categorias!A:B,2,0))</f>
        <v/>
      </c>
      <c r="F224" s="80"/>
      <c r="G224" s="5"/>
      <c r="H224" s="73">
        <f t="shared" si="3"/>
        <v>0</v>
      </c>
    </row>
    <row r="225" spans="4:8" ht="13.8">
      <c r="D225" s="1"/>
      <c r="E225" s="1" t="str">
        <f>IF(ISERROR(VLOOKUP(D225,Categorias!A:B,2,0)),"",VLOOKUP(D225,Categorias!A:B,2,0))</f>
        <v/>
      </c>
      <c r="F225" s="80"/>
      <c r="G225" s="5"/>
      <c r="H225" s="73">
        <f t="shared" si="3"/>
        <v>0</v>
      </c>
    </row>
    <row r="226" spans="4:8" ht="13.8">
      <c r="D226" s="1"/>
      <c r="E226" s="1" t="str">
        <f>IF(ISERROR(VLOOKUP(D226,Categorias!A:B,2,0)),"",VLOOKUP(D226,Categorias!A:B,2,0))</f>
        <v/>
      </c>
      <c r="F226" s="80"/>
      <c r="G226" s="5"/>
      <c r="H226" s="73">
        <f t="shared" si="3"/>
        <v>0</v>
      </c>
    </row>
    <row r="227" spans="4:8" ht="13.8">
      <c r="D227" s="1"/>
      <c r="E227" s="1" t="str">
        <f>IF(ISERROR(VLOOKUP(D227,Categorias!A:B,2,0)),"",VLOOKUP(D227,Categorias!A:B,2,0))</f>
        <v/>
      </c>
      <c r="F227" s="80"/>
      <c r="G227" s="5"/>
      <c r="H227" s="73">
        <f t="shared" si="3"/>
        <v>0</v>
      </c>
    </row>
    <row r="228" spans="4:8" ht="13.8">
      <c r="D228" s="1"/>
      <c r="E228" s="1" t="str">
        <f>IF(ISERROR(VLOOKUP(D228,Categorias!A:B,2,0)),"",VLOOKUP(D228,Categorias!A:B,2,0))</f>
        <v/>
      </c>
      <c r="F228" s="80"/>
      <c r="G228" s="5"/>
      <c r="H228" s="73">
        <f t="shared" si="3"/>
        <v>0</v>
      </c>
    </row>
    <row r="229" spans="4:8" ht="13.8">
      <c r="D229" s="1"/>
      <c r="E229" s="1" t="str">
        <f>IF(ISERROR(VLOOKUP(D229,Categorias!A:B,2,0)),"",VLOOKUP(D229,Categorias!A:B,2,0))</f>
        <v/>
      </c>
      <c r="F229" s="80"/>
      <c r="G229" s="5"/>
      <c r="H229" s="73">
        <f t="shared" si="3"/>
        <v>0</v>
      </c>
    </row>
    <row r="230" spans="4:8" ht="13.8">
      <c r="D230" s="1"/>
      <c r="E230" s="1" t="str">
        <f>IF(ISERROR(VLOOKUP(D230,Categorias!A:B,2,0)),"",VLOOKUP(D230,Categorias!A:B,2,0))</f>
        <v/>
      </c>
      <c r="F230" s="80"/>
      <c r="G230" s="5"/>
      <c r="H230" s="73">
        <f t="shared" si="3"/>
        <v>0</v>
      </c>
    </row>
    <row r="231" spans="4:8" ht="13.8">
      <c r="D231" s="1"/>
      <c r="E231" s="1" t="str">
        <f>IF(ISERROR(VLOOKUP(D231,Categorias!A:B,2,0)),"",VLOOKUP(D231,Categorias!A:B,2,0))</f>
        <v/>
      </c>
      <c r="F231" s="80"/>
      <c r="G231" s="5"/>
      <c r="H231" s="73">
        <f t="shared" si="3"/>
        <v>0</v>
      </c>
    </row>
    <row r="232" spans="4:8" ht="13.8">
      <c r="D232" s="1"/>
      <c r="E232" s="1" t="str">
        <f>IF(ISERROR(VLOOKUP(D232,Categorias!A:B,2,0)),"",VLOOKUP(D232,Categorias!A:B,2,0))</f>
        <v/>
      </c>
      <c r="F232" s="80"/>
      <c r="G232" s="5"/>
      <c r="H232" s="73">
        <f t="shared" si="3"/>
        <v>0</v>
      </c>
    </row>
    <row r="233" spans="4:8" ht="13.8">
      <c r="D233" s="1"/>
      <c r="E233" s="1" t="str">
        <f>IF(ISERROR(VLOOKUP(D233,Categorias!A:B,2,0)),"",VLOOKUP(D233,Categorias!A:B,2,0))</f>
        <v/>
      </c>
      <c r="F233" s="80"/>
      <c r="G233" s="5"/>
      <c r="H233" s="73">
        <f t="shared" si="3"/>
        <v>0</v>
      </c>
    </row>
    <row r="234" spans="4:8" ht="13.8">
      <c r="D234" s="1"/>
      <c r="E234" s="1" t="str">
        <f>IF(ISERROR(VLOOKUP(D234,Categorias!A:B,2,0)),"",VLOOKUP(D234,Categorias!A:B,2,0))</f>
        <v/>
      </c>
      <c r="F234" s="80"/>
      <c r="G234" s="5"/>
      <c r="H234" s="73">
        <f t="shared" si="3"/>
        <v>0</v>
      </c>
    </row>
    <row r="235" spans="4:8" ht="13.8">
      <c r="D235" s="1"/>
      <c r="E235" s="1" t="str">
        <f>IF(ISERROR(VLOOKUP(D235,Categorias!A:B,2,0)),"",VLOOKUP(D235,Categorias!A:B,2,0))</f>
        <v/>
      </c>
      <c r="F235" s="80"/>
      <c r="G235" s="5"/>
      <c r="H235" s="73">
        <f t="shared" si="3"/>
        <v>0</v>
      </c>
    </row>
    <row r="236" spans="4:8" ht="13.8">
      <c r="D236" s="1"/>
      <c r="E236" s="1" t="str">
        <f>IF(ISERROR(VLOOKUP(D236,Categorias!A:B,2,0)),"",VLOOKUP(D236,Categorias!A:B,2,0))</f>
        <v/>
      </c>
      <c r="F236" s="80"/>
      <c r="G236" s="5"/>
      <c r="H236" s="73">
        <f t="shared" si="3"/>
        <v>0</v>
      </c>
    </row>
    <row r="237" spans="4:8" ht="13.8">
      <c r="D237" s="1"/>
      <c r="E237" s="1" t="str">
        <f>IF(ISERROR(VLOOKUP(D237,Categorias!A:B,2,0)),"",VLOOKUP(D237,Categorias!A:B,2,0))</f>
        <v/>
      </c>
      <c r="F237" s="80"/>
      <c r="G237" s="5"/>
      <c r="H237" s="73">
        <f t="shared" si="3"/>
        <v>0</v>
      </c>
    </row>
    <row r="238" spans="4:8" ht="13.8">
      <c r="D238" s="1"/>
      <c r="E238" s="1" t="str">
        <f>IF(ISERROR(VLOOKUP(D238,Categorias!A:B,2,0)),"",VLOOKUP(D238,Categorias!A:B,2,0))</f>
        <v/>
      </c>
      <c r="F238" s="80"/>
      <c r="G238" s="5"/>
      <c r="H238" s="73">
        <f t="shared" si="3"/>
        <v>0</v>
      </c>
    </row>
    <row r="239" spans="4:8" ht="13.8">
      <c r="D239" s="1"/>
      <c r="E239" s="1" t="str">
        <f>IF(ISERROR(VLOOKUP(D239,Categorias!A:B,2,0)),"",VLOOKUP(D239,Categorias!A:B,2,0))</f>
        <v/>
      </c>
      <c r="F239" s="80"/>
      <c r="G239" s="5"/>
      <c r="H239" s="73">
        <f t="shared" si="3"/>
        <v>0</v>
      </c>
    </row>
    <row r="240" spans="4:8" ht="13.8">
      <c r="D240" s="1"/>
      <c r="E240" s="1" t="str">
        <f>IF(ISERROR(VLOOKUP(D240,Categorias!A:B,2,0)),"",VLOOKUP(D240,Categorias!A:B,2,0))</f>
        <v/>
      </c>
      <c r="F240" s="80"/>
      <c r="G240" s="5"/>
      <c r="H240" s="73">
        <f t="shared" si="3"/>
        <v>0</v>
      </c>
    </row>
    <row r="241" spans="4:8" ht="13.8">
      <c r="D241" s="1"/>
      <c r="E241" s="1" t="str">
        <f>IF(ISERROR(VLOOKUP(D241,Categorias!A:B,2,0)),"",VLOOKUP(D241,Categorias!A:B,2,0))</f>
        <v/>
      </c>
      <c r="F241" s="80"/>
      <c r="G241" s="5"/>
      <c r="H241" s="73">
        <f t="shared" si="3"/>
        <v>0</v>
      </c>
    </row>
    <row r="242" spans="4:8" ht="13.8">
      <c r="D242" s="1"/>
      <c r="E242" s="1" t="str">
        <f>IF(ISERROR(VLOOKUP(D242,Categorias!A:B,2,0)),"",VLOOKUP(D242,Categorias!A:B,2,0))</f>
        <v/>
      </c>
      <c r="F242" s="80"/>
      <c r="G242" s="5"/>
      <c r="H242" s="73">
        <f t="shared" si="3"/>
        <v>0</v>
      </c>
    </row>
    <row r="243" spans="4:8" ht="13.8">
      <c r="D243" s="1"/>
      <c r="E243" s="1" t="str">
        <f>IF(ISERROR(VLOOKUP(D243,Categorias!A:B,2,0)),"",VLOOKUP(D243,Categorias!A:B,2,0))</f>
        <v/>
      </c>
      <c r="F243" s="80"/>
      <c r="G243" s="5"/>
      <c r="H243" s="73">
        <f t="shared" si="3"/>
        <v>0</v>
      </c>
    </row>
    <row r="244" spans="4:8" ht="13.8">
      <c r="D244" s="1"/>
      <c r="E244" s="1" t="str">
        <f>IF(ISERROR(VLOOKUP(D244,Categorias!A:B,2,0)),"",VLOOKUP(D244,Categorias!A:B,2,0))</f>
        <v/>
      </c>
      <c r="F244" s="80"/>
      <c r="G244" s="5"/>
      <c r="H244" s="73">
        <f t="shared" si="3"/>
        <v>0</v>
      </c>
    </row>
    <row r="245" spans="4:8" ht="13.8">
      <c r="D245" s="1"/>
      <c r="E245" s="1" t="str">
        <f>IF(ISERROR(VLOOKUP(D245,Categorias!A:B,2,0)),"",VLOOKUP(D245,Categorias!A:B,2,0))</f>
        <v/>
      </c>
      <c r="F245" s="80"/>
      <c r="G245" s="5"/>
      <c r="H245" s="73">
        <f t="shared" si="3"/>
        <v>0</v>
      </c>
    </row>
    <row r="246" spans="4:8" ht="13.8">
      <c r="D246" s="1"/>
      <c r="E246" s="1" t="str">
        <f>IF(ISERROR(VLOOKUP(D246,Categorias!A:B,2,0)),"",VLOOKUP(D246,Categorias!A:B,2,0))</f>
        <v/>
      </c>
      <c r="F246" s="80"/>
      <c r="G246" s="5"/>
      <c r="H246" s="73">
        <f t="shared" si="3"/>
        <v>0</v>
      </c>
    </row>
    <row r="247" spans="4:8" ht="13.8">
      <c r="D247" s="1"/>
      <c r="E247" s="1" t="str">
        <f>IF(ISERROR(VLOOKUP(D247,Categorias!A:B,2,0)),"",VLOOKUP(D247,Categorias!A:B,2,0))</f>
        <v/>
      </c>
      <c r="F247" s="80"/>
      <c r="G247" s="5"/>
      <c r="H247" s="73">
        <f t="shared" si="3"/>
        <v>0</v>
      </c>
    </row>
    <row r="248" spans="4:8" ht="13.8">
      <c r="D248" s="1"/>
      <c r="E248" s="1" t="str">
        <f>IF(ISERROR(VLOOKUP(D248,Categorias!A:B,2,0)),"",VLOOKUP(D248,Categorias!A:B,2,0))</f>
        <v/>
      </c>
      <c r="F248" s="80"/>
      <c r="G248" s="5"/>
      <c r="H248" s="73">
        <f t="shared" si="3"/>
        <v>0</v>
      </c>
    </row>
    <row r="249" spans="4:8" ht="13.8">
      <c r="D249" s="1"/>
      <c r="E249" s="1" t="str">
        <f>IF(ISERROR(VLOOKUP(D249,Categorias!A:B,2,0)),"",VLOOKUP(D249,Categorias!A:B,2,0))</f>
        <v/>
      </c>
      <c r="F249" s="80"/>
      <c r="G249" s="5"/>
      <c r="H249" s="73">
        <f t="shared" si="3"/>
        <v>0</v>
      </c>
    </row>
    <row r="250" spans="4:8" ht="13.8">
      <c r="D250" s="1"/>
      <c r="E250" s="1" t="str">
        <f>IF(ISERROR(VLOOKUP(D250,Categorias!A:B,2,0)),"",VLOOKUP(D250,Categorias!A:B,2,0))</f>
        <v/>
      </c>
      <c r="F250" s="80"/>
      <c r="G250" s="5"/>
      <c r="H250" s="73">
        <f t="shared" si="3"/>
        <v>0</v>
      </c>
    </row>
    <row r="251" spans="4:8" ht="13.8">
      <c r="D251" s="1"/>
      <c r="E251" s="1" t="str">
        <f>IF(ISERROR(VLOOKUP(D251,Categorias!A:B,2,0)),"",VLOOKUP(D251,Categorias!A:B,2,0))</f>
        <v/>
      </c>
      <c r="F251" s="80"/>
      <c r="G251" s="5"/>
      <c r="H251" s="73">
        <f t="shared" si="3"/>
        <v>0</v>
      </c>
    </row>
    <row r="252" spans="4:8" ht="13.8">
      <c r="D252" s="1"/>
      <c r="E252" s="1" t="str">
        <f>IF(ISERROR(VLOOKUP(D252,Categorias!A:B,2,0)),"",VLOOKUP(D252,Categorias!A:B,2,0))</f>
        <v/>
      </c>
      <c r="F252" s="80"/>
      <c r="G252" s="5"/>
      <c r="H252" s="73">
        <f t="shared" si="3"/>
        <v>0</v>
      </c>
    </row>
    <row r="253" spans="4:8" ht="13.8">
      <c r="D253" s="1"/>
      <c r="E253" s="1" t="str">
        <f>IF(ISERROR(VLOOKUP(D253,Categorias!A:B,2,0)),"",VLOOKUP(D253,Categorias!A:B,2,0))</f>
        <v/>
      </c>
      <c r="F253" s="80"/>
      <c r="G253" s="5"/>
      <c r="H253" s="73">
        <f t="shared" si="3"/>
        <v>0</v>
      </c>
    </row>
    <row r="254" spans="4:8" ht="13.8">
      <c r="D254" s="1"/>
      <c r="E254" s="1" t="str">
        <f>IF(ISERROR(VLOOKUP(D254,Categorias!A:B,2,0)),"",VLOOKUP(D254,Categorias!A:B,2,0))</f>
        <v/>
      </c>
      <c r="F254" s="80"/>
      <c r="G254" s="5"/>
      <c r="H254" s="73">
        <f t="shared" si="3"/>
        <v>0</v>
      </c>
    </row>
    <row r="255" spans="4:8" ht="13.8">
      <c r="F255" s="81"/>
      <c r="G255" s="6"/>
      <c r="H255" s="60"/>
    </row>
    <row r="256" spans="4:8" ht="13.8">
      <c r="F256" s="81"/>
      <c r="G256" s="6"/>
      <c r="H256" s="60"/>
    </row>
    <row r="257" spans="6:8" ht="13.8">
      <c r="F257" s="81"/>
      <c r="G257" s="6"/>
      <c r="H257" s="60"/>
    </row>
    <row r="258" spans="6:8" ht="13.8">
      <c r="F258" s="81"/>
      <c r="G258" s="6"/>
      <c r="H258" s="60"/>
    </row>
    <row r="259" spans="6:8" ht="13.8">
      <c r="F259" s="81"/>
      <c r="G259" s="6"/>
      <c r="H259" s="60"/>
    </row>
    <row r="260" spans="6:8" ht="13.8">
      <c r="F260" s="81"/>
      <c r="G260" s="6"/>
      <c r="H260" s="60"/>
    </row>
    <row r="261" spans="6:8" ht="13.8">
      <c r="F261" s="81"/>
      <c r="G261" s="6"/>
      <c r="H261" s="60"/>
    </row>
    <row r="262" spans="6:8" ht="13.8">
      <c r="F262" s="81"/>
      <c r="G262" s="6"/>
      <c r="H262" s="60"/>
    </row>
    <row r="263" spans="6:8" ht="13.8">
      <c r="F263" s="81"/>
      <c r="G263" s="6"/>
      <c r="H263" s="60"/>
    </row>
    <row r="264" spans="6:8" ht="13.8">
      <c r="F264" s="81"/>
      <c r="G264" s="6"/>
      <c r="H264" s="60"/>
    </row>
    <row r="265" spans="6:8" ht="13.8">
      <c r="F265" s="81"/>
      <c r="G265" s="6"/>
      <c r="H265" s="60"/>
    </row>
    <row r="266" spans="6:8" ht="13.8">
      <c r="F266" s="81"/>
      <c r="G266" s="6"/>
      <c r="H266" s="60"/>
    </row>
    <row r="267" spans="6:8" ht="13.8">
      <c r="F267" s="81"/>
      <c r="G267" s="6"/>
      <c r="H267" s="60"/>
    </row>
    <row r="268" spans="6:8" ht="13.8">
      <c r="F268" s="81"/>
      <c r="G268" s="6"/>
      <c r="H268" s="60"/>
    </row>
    <row r="269" spans="6:8" ht="13.8">
      <c r="F269" s="81"/>
      <c r="G269" s="6"/>
      <c r="H269" s="60"/>
    </row>
    <row r="270" spans="6:8" ht="13.8">
      <c r="F270" s="81"/>
      <c r="G270" s="6"/>
      <c r="H270" s="60"/>
    </row>
    <row r="271" spans="6:8" ht="13.8">
      <c r="F271" s="81"/>
      <c r="G271" s="6"/>
      <c r="H271" s="60"/>
    </row>
    <row r="272" spans="6:8" ht="13.8">
      <c r="F272" s="81"/>
      <c r="G272" s="6"/>
      <c r="H272" s="60"/>
    </row>
    <row r="273" spans="6:8" ht="13.8">
      <c r="F273" s="81"/>
      <c r="G273" s="6"/>
      <c r="H273" s="60"/>
    </row>
    <row r="274" spans="6:8" ht="13.8">
      <c r="F274" s="81"/>
      <c r="G274" s="6"/>
      <c r="H274" s="60"/>
    </row>
    <row r="275" spans="6:8" ht="13.8">
      <c r="F275" s="81"/>
      <c r="G275" s="6"/>
      <c r="H275" s="60"/>
    </row>
    <row r="276" spans="6:8" ht="13.8">
      <c r="F276" s="81"/>
      <c r="G276" s="6"/>
      <c r="H276" s="60"/>
    </row>
    <row r="277" spans="6:8" ht="13.8">
      <c r="F277" s="81"/>
      <c r="G277" s="6"/>
      <c r="H277" s="60"/>
    </row>
    <row r="278" spans="6:8" ht="13.8">
      <c r="F278" s="81"/>
      <c r="G278" s="6"/>
      <c r="H278" s="60"/>
    </row>
    <row r="279" spans="6:8" ht="13.8">
      <c r="F279" s="81"/>
      <c r="G279" s="6"/>
      <c r="H279" s="60"/>
    </row>
    <row r="280" spans="6:8" ht="13.8">
      <c r="F280" s="81"/>
      <c r="G280" s="6"/>
      <c r="H280" s="60"/>
    </row>
    <row r="281" spans="6:8" ht="13.8">
      <c r="F281" s="81"/>
      <c r="G281" s="6"/>
      <c r="H281" s="60"/>
    </row>
    <row r="282" spans="6:8" ht="13.8">
      <c r="F282" s="81"/>
      <c r="G282" s="6"/>
      <c r="H282" s="60"/>
    </row>
    <row r="283" spans="6:8" ht="13.8">
      <c r="F283" s="81"/>
      <c r="G283" s="6"/>
      <c r="H283" s="60"/>
    </row>
    <row r="284" spans="6:8" ht="13.8">
      <c r="F284" s="81"/>
      <c r="G284" s="6"/>
      <c r="H284" s="60"/>
    </row>
    <row r="285" spans="6:8" ht="13.8">
      <c r="F285" s="81"/>
      <c r="G285" s="6"/>
      <c r="H285" s="60"/>
    </row>
    <row r="286" spans="6:8" ht="13.8">
      <c r="F286" s="81"/>
      <c r="G286" s="6"/>
      <c r="H286" s="60"/>
    </row>
    <row r="287" spans="6:8" ht="13.8">
      <c r="F287" s="81"/>
      <c r="G287" s="6"/>
      <c r="H287" s="60"/>
    </row>
    <row r="288" spans="6:8" ht="13.8">
      <c r="F288" s="81"/>
      <c r="G288" s="6"/>
      <c r="H288" s="60"/>
    </row>
    <row r="289" spans="6:8" ht="13.8">
      <c r="F289" s="81"/>
      <c r="G289" s="6"/>
      <c r="H289" s="60"/>
    </row>
    <row r="290" spans="6:8" ht="13.8">
      <c r="F290" s="81"/>
      <c r="G290" s="6"/>
      <c r="H290" s="60"/>
    </row>
    <row r="291" spans="6:8" ht="13.8">
      <c r="F291" s="81"/>
      <c r="G291" s="6"/>
      <c r="H291" s="60"/>
    </row>
    <row r="292" spans="6:8" ht="13.8">
      <c r="F292" s="81"/>
      <c r="G292" s="6"/>
      <c r="H292" s="60"/>
    </row>
    <row r="293" spans="6:8" ht="13.8">
      <c r="F293" s="81"/>
      <c r="G293" s="6"/>
      <c r="H293" s="60"/>
    </row>
    <row r="294" spans="6:8" ht="13.8">
      <c r="F294" s="81"/>
      <c r="G294" s="6"/>
      <c r="H294" s="60"/>
    </row>
    <row r="295" spans="6:8" ht="13.8">
      <c r="F295" s="81"/>
      <c r="G295" s="6"/>
      <c r="H295" s="60"/>
    </row>
    <row r="296" spans="6:8" ht="13.8">
      <c r="F296" s="81"/>
      <c r="G296" s="6"/>
      <c r="H296" s="60"/>
    </row>
    <row r="297" spans="6:8" ht="13.8">
      <c r="F297" s="81"/>
      <c r="G297" s="6"/>
      <c r="H297" s="60"/>
    </row>
    <row r="298" spans="6:8" ht="13.8">
      <c r="F298" s="81"/>
      <c r="G298" s="6"/>
      <c r="H298" s="60"/>
    </row>
    <row r="299" spans="6:8" ht="13.8">
      <c r="F299" s="81"/>
      <c r="G299" s="6"/>
      <c r="H299" s="60"/>
    </row>
    <row r="300" spans="6:8" ht="13.8">
      <c r="F300" s="81"/>
      <c r="G300" s="6"/>
      <c r="H300" s="60"/>
    </row>
    <row r="301" spans="6:8" ht="13.8">
      <c r="F301" s="81"/>
      <c r="G301" s="6"/>
      <c r="H301" s="60"/>
    </row>
    <row r="302" spans="6:8" ht="13.8">
      <c r="F302" s="81"/>
      <c r="G302" s="6"/>
      <c r="H302" s="60"/>
    </row>
    <row r="303" spans="6:8" ht="13.8">
      <c r="F303" s="81"/>
      <c r="G303" s="6"/>
      <c r="H303" s="60"/>
    </row>
    <row r="304" spans="6:8" ht="13.8">
      <c r="F304" s="81"/>
      <c r="G304" s="6"/>
      <c r="H304" s="60"/>
    </row>
    <row r="305" spans="6:8" ht="13.8">
      <c r="F305" s="81"/>
      <c r="G305" s="6"/>
      <c r="H305" s="60"/>
    </row>
    <row r="306" spans="6:8" ht="13.8">
      <c r="F306" s="81"/>
      <c r="G306" s="6"/>
      <c r="H306" s="60"/>
    </row>
    <row r="307" spans="6:8" ht="13.8">
      <c r="F307" s="81"/>
      <c r="G307" s="6"/>
      <c r="H307" s="60"/>
    </row>
    <row r="308" spans="6:8" ht="13.8">
      <c r="F308" s="81"/>
      <c r="G308" s="6"/>
      <c r="H308" s="60"/>
    </row>
    <row r="309" spans="6:8" ht="13.8">
      <c r="F309" s="81"/>
      <c r="G309" s="6"/>
      <c r="H309" s="60"/>
    </row>
    <row r="310" spans="6:8" ht="13.8">
      <c r="F310" s="81"/>
      <c r="G310" s="6"/>
      <c r="H310" s="60"/>
    </row>
    <row r="311" spans="6:8" ht="13.8">
      <c r="F311" s="81"/>
      <c r="G311" s="6"/>
      <c r="H311" s="60"/>
    </row>
    <row r="312" spans="6:8" ht="13.8">
      <c r="F312" s="81"/>
      <c r="G312" s="6"/>
      <c r="H312" s="60"/>
    </row>
    <row r="313" spans="6:8" ht="13.8">
      <c r="F313" s="81"/>
      <c r="G313" s="6"/>
      <c r="H313" s="60"/>
    </row>
    <row r="314" spans="6:8" ht="13.8">
      <c r="F314" s="81"/>
      <c r="G314" s="6"/>
      <c r="H314" s="60"/>
    </row>
    <row r="315" spans="6:8" ht="13.8">
      <c r="F315" s="81"/>
      <c r="G315" s="6"/>
      <c r="H315" s="60"/>
    </row>
    <row r="316" spans="6:8" ht="13.8">
      <c r="F316" s="81"/>
      <c r="G316" s="6"/>
      <c r="H316" s="60"/>
    </row>
    <row r="317" spans="6:8" ht="13.8">
      <c r="F317" s="81"/>
      <c r="G317" s="6"/>
      <c r="H317" s="60"/>
    </row>
    <row r="318" spans="6:8" ht="13.8">
      <c r="F318" s="81"/>
      <c r="G318" s="6"/>
      <c r="H318" s="60"/>
    </row>
    <row r="319" spans="6:8" ht="13.8">
      <c r="F319" s="81"/>
      <c r="G319" s="6"/>
      <c r="H319" s="60"/>
    </row>
    <row r="320" spans="6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  <row r="455" spans="6:8" ht="13.2"/>
    <row r="456" spans="6:8" ht="13.2"/>
    <row r="457" spans="6:8" ht="13.2"/>
    <row r="458" spans="6:8" ht="13.2"/>
    <row r="459" spans="6:8" ht="13.2"/>
    <row r="460" spans="6:8" ht="13.2"/>
    <row r="461" spans="6:8" ht="13.2"/>
    <row r="462" spans="6:8" ht="13.2"/>
    <row r="463" spans="6:8" ht="13.2"/>
    <row r="464" spans="6:8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</sheetData>
  <autoFilter ref="A4:G248" xr:uid="{00000000-0009-0000-0000-000002000000}"/>
  <mergeCells count="12">
    <mergeCell ref="B2:H5"/>
    <mergeCell ref="B7:D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7956F342-8AED-4860-B792-BD0FBCEAE76B}">
          <x14:formula1>
            <xm:f>Categorias!$A:$A</xm:f>
          </x14:formula1>
          <xm:sqref>D13:D254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108F3-3CD2-4A6F-98AB-24BD9691E29E}">
  <dimension ref="A1:H997"/>
  <sheetViews>
    <sheetView showGridLines="0" workbookViewId="0">
      <selection activeCell="G7" sqref="G7:H7"/>
    </sheetView>
  </sheetViews>
  <sheetFormatPr defaultColWidth="12.6640625" defaultRowHeight="15" customHeight="1"/>
  <cols>
    <col min="1" max="1" width="5.33203125" style="77" customWidth="1"/>
    <col min="2" max="2" width="13" style="76" bestFit="1" customWidth="1"/>
    <col min="3" max="3" width="33.33203125" style="7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8" s="8" customFormat="1" ht="4.5" customHeight="1">
      <c r="B1" s="76"/>
      <c r="C1" s="83"/>
      <c r="F1" s="85"/>
      <c r="G1" s="63"/>
    </row>
    <row r="2" spans="1:8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8" ht="12.75" customHeight="1">
      <c r="B3" s="137"/>
      <c r="C3" s="138"/>
      <c r="D3" s="138"/>
      <c r="E3" s="138"/>
      <c r="F3" s="138"/>
      <c r="G3" s="138"/>
      <c r="H3" s="138"/>
    </row>
    <row r="4" spans="1:8" ht="12.75" customHeight="1">
      <c r="B4" s="137"/>
      <c r="C4" s="138"/>
      <c r="D4" s="138"/>
      <c r="E4" s="138"/>
      <c r="F4" s="138"/>
      <c r="G4" s="138"/>
      <c r="H4" s="138"/>
    </row>
    <row r="5" spans="1:8" ht="12.75" customHeight="1">
      <c r="B5" s="139"/>
      <c r="C5" s="140"/>
      <c r="D5" s="140"/>
      <c r="E5" s="140"/>
      <c r="F5" s="140"/>
      <c r="G5" s="140"/>
      <c r="H5" s="140"/>
    </row>
    <row r="6" spans="1:8" s="8" customFormat="1" ht="3.75" customHeight="1">
      <c r="B6" s="76"/>
      <c r="C6" s="83"/>
      <c r="F6" s="85"/>
      <c r="G6" s="63"/>
    </row>
    <row r="7" spans="1:8" ht="21">
      <c r="A7" s="61"/>
      <c r="B7" s="149" t="s">
        <v>95</v>
      </c>
      <c r="C7" s="150"/>
      <c r="D7" s="150"/>
      <c r="E7" s="71"/>
      <c r="F7" s="71"/>
      <c r="G7" s="135">
        <f>D8+D9+D10+G8+G9+G10</f>
        <v>0</v>
      </c>
      <c r="H7" s="136"/>
    </row>
    <row r="8" spans="1:8" ht="15.6">
      <c r="A8" s="61"/>
      <c r="B8" s="148" t="s">
        <v>90</v>
      </c>
      <c r="C8" s="148"/>
      <c r="D8" s="65"/>
      <c r="E8" s="147" t="s">
        <v>93</v>
      </c>
      <c r="F8" s="148"/>
      <c r="G8" s="141"/>
      <c r="H8" s="142"/>
    </row>
    <row r="9" spans="1:8" ht="15.6">
      <c r="A9" s="61"/>
      <c r="B9" s="146" t="s">
        <v>91</v>
      </c>
      <c r="C9" s="146"/>
      <c r="D9" s="64"/>
      <c r="E9" s="145" t="s">
        <v>94</v>
      </c>
      <c r="F9" s="146"/>
      <c r="G9" s="143"/>
      <c r="H9" s="144"/>
    </row>
    <row r="10" spans="1:8" s="8" customFormat="1" ht="15.6">
      <c r="A10" s="61"/>
      <c r="B10" s="148" t="s">
        <v>92</v>
      </c>
      <c r="C10" s="148"/>
      <c r="D10" s="65"/>
      <c r="E10" s="145" t="s">
        <v>96</v>
      </c>
      <c r="F10" s="146"/>
      <c r="G10" s="141"/>
      <c r="H10" s="142"/>
    </row>
    <row r="11" spans="1:8" s="8" customFormat="1" ht="4.5" customHeight="1">
      <c r="B11" s="76"/>
      <c r="C11" s="83"/>
      <c r="F11" s="84"/>
      <c r="G11" s="84"/>
    </row>
    <row r="12" spans="1:8" ht="18">
      <c r="B12" s="67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8" ht="13.8">
      <c r="B13" s="74"/>
      <c r="C13" s="68"/>
      <c r="D13" s="1"/>
      <c r="E13" s="62" t="str">
        <f>IF(ISERROR(VLOOKUP(D13,Categorias!A:B,2,0)),"",VLOOKUP(D13,Categorias!A:B,2,0))</f>
        <v/>
      </c>
      <c r="F13" s="80"/>
      <c r="G13" s="5"/>
      <c r="H13" s="78">
        <f>G7+F13-G13</f>
        <v>0</v>
      </c>
    </row>
    <row r="14" spans="1:8" ht="9.75" customHeight="1">
      <c r="B14" s="74"/>
      <c r="C14" s="68"/>
      <c r="D14" s="1"/>
      <c r="E14" s="1" t="str">
        <f>IF(ISERROR(VLOOKUP(D14,Categorias!A:B,2,0)),"",VLOOKUP(D14,Categorias!A:B,2,0))</f>
        <v/>
      </c>
      <c r="F14" s="80"/>
      <c r="G14" s="5"/>
      <c r="H14" s="79">
        <f t="shared" ref="H14:H77" si="0">H13+F14-G14</f>
        <v>0</v>
      </c>
    </row>
    <row r="15" spans="1:8" ht="13.8">
      <c r="B15" s="74"/>
      <c r="C15" s="68"/>
      <c r="D15" s="1"/>
      <c r="E15" s="1" t="str">
        <f>IF(ISERROR(VLOOKUP(D15,Categorias!A:B,2,0)),"",VLOOKUP(D15,Categorias!A:B,2,0))</f>
        <v/>
      </c>
      <c r="F15" s="80"/>
      <c r="G15" s="5"/>
      <c r="H15" s="79">
        <f t="shared" si="0"/>
        <v>0</v>
      </c>
    </row>
    <row r="16" spans="1:8" ht="13.8">
      <c r="B16" s="74"/>
      <c r="C16" s="68"/>
      <c r="D16" s="1"/>
      <c r="E16" s="1" t="str">
        <f>IF(ISERROR(VLOOKUP(D16,Categorias!A:B,2,0)),"",VLOOKUP(D16,Categorias!A:B,2,0))</f>
        <v/>
      </c>
      <c r="F16" s="80"/>
      <c r="G16" s="5"/>
      <c r="H16" s="79">
        <f t="shared" si="0"/>
        <v>0</v>
      </c>
    </row>
    <row r="17" spans="2:8" ht="13.8">
      <c r="B17" s="74"/>
      <c r="C17" s="68"/>
      <c r="D17" s="1"/>
      <c r="E17" s="1" t="str">
        <f>IF(ISERROR(VLOOKUP(D17,Categorias!A:B,2,0)),"",VLOOKUP(D17,Categorias!A:B,2,0))</f>
        <v/>
      </c>
      <c r="F17" s="80"/>
      <c r="G17" s="5"/>
      <c r="H17" s="79">
        <f t="shared" si="0"/>
        <v>0</v>
      </c>
    </row>
    <row r="18" spans="2:8" ht="13.8">
      <c r="B18" s="74"/>
      <c r="C18" s="68"/>
      <c r="D18" s="1"/>
      <c r="E18" s="1" t="str">
        <f>IF(ISERROR(VLOOKUP(D18,Categorias!A:B,2,0)),"",VLOOKUP(D18,Categorias!A:B,2,0))</f>
        <v/>
      </c>
      <c r="F18" s="80"/>
      <c r="G18" s="5"/>
      <c r="H18" s="79">
        <f t="shared" si="0"/>
        <v>0</v>
      </c>
    </row>
    <row r="19" spans="2:8" ht="13.8">
      <c r="B19" s="74"/>
      <c r="C19" s="68"/>
      <c r="D19" s="1"/>
      <c r="E19" s="1" t="str">
        <f>IF(ISERROR(VLOOKUP(D19,Categorias!A:B,2,0)),"",VLOOKUP(D19,Categorias!A:B,2,0))</f>
        <v/>
      </c>
      <c r="F19" s="80"/>
      <c r="G19" s="5"/>
      <c r="H19" s="79">
        <f t="shared" si="0"/>
        <v>0</v>
      </c>
    </row>
    <row r="20" spans="2:8" ht="13.8">
      <c r="B20" s="74"/>
      <c r="C20" s="68"/>
      <c r="D20" s="1"/>
      <c r="E20" s="1" t="str">
        <f>IF(ISERROR(VLOOKUP(D20,Categorias!A:B,2,0)),"",VLOOKUP(D20,Categorias!A:B,2,0))</f>
        <v/>
      </c>
      <c r="F20" s="80"/>
      <c r="G20" s="5"/>
      <c r="H20" s="79">
        <f t="shared" si="0"/>
        <v>0</v>
      </c>
    </row>
    <row r="21" spans="2:8" ht="13.8">
      <c r="B21" s="74"/>
      <c r="C21" s="68"/>
      <c r="D21" s="1"/>
      <c r="E21" s="1" t="str">
        <f>IF(ISERROR(VLOOKUP(D21,Categorias!A:B,2,0)),"",VLOOKUP(D21,Categorias!A:B,2,0))</f>
        <v/>
      </c>
      <c r="F21" s="80"/>
      <c r="G21" s="5"/>
      <c r="H21" s="79">
        <f t="shared" si="0"/>
        <v>0</v>
      </c>
    </row>
    <row r="22" spans="2:8" ht="13.8">
      <c r="B22" s="74"/>
      <c r="C22" s="68"/>
      <c r="D22" s="1"/>
      <c r="E22" s="1" t="str">
        <f>IF(ISERROR(VLOOKUP(D22,Categorias!A:B,2,0)),"",VLOOKUP(D22,Categorias!A:B,2,0))</f>
        <v/>
      </c>
      <c r="F22" s="80"/>
      <c r="G22" s="5"/>
      <c r="H22" s="79">
        <f t="shared" si="0"/>
        <v>0</v>
      </c>
    </row>
    <row r="23" spans="2:8" ht="13.8">
      <c r="B23" s="74"/>
      <c r="C23" s="68"/>
      <c r="D23" s="1"/>
      <c r="E23" s="1" t="str">
        <f>IF(ISERROR(VLOOKUP(D23,Categorias!A:B,2,0)),"",VLOOKUP(D23,Categorias!A:B,2,0))</f>
        <v/>
      </c>
      <c r="F23" s="80"/>
      <c r="G23" s="5"/>
      <c r="H23" s="79">
        <f t="shared" si="0"/>
        <v>0</v>
      </c>
    </row>
    <row r="24" spans="2:8" ht="13.8">
      <c r="B24" s="74"/>
      <c r="C24" s="68"/>
      <c r="D24" s="1"/>
      <c r="E24" s="1" t="str">
        <f>IF(ISERROR(VLOOKUP(D24,Categorias!A:B,2,0)),"",VLOOKUP(D24,Categorias!A:B,2,0))</f>
        <v/>
      </c>
      <c r="F24" s="80"/>
      <c r="G24" s="5"/>
      <c r="H24" s="79">
        <f t="shared" si="0"/>
        <v>0</v>
      </c>
    </row>
    <row r="25" spans="2:8" ht="13.8">
      <c r="B25" s="74"/>
      <c r="C25" s="68"/>
      <c r="D25" s="1"/>
      <c r="E25" s="1" t="str">
        <f>IF(ISERROR(VLOOKUP(D25,Categorias!A:B,2,0)),"",VLOOKUP(D25,Categorias!A:B,2,0))</f>
        <v/>
      </c>
      <c r="F25" s="80"/>
      <c r="G25" s="5"/>
      <c r="H25" s="79">
        <f t="shared" si="0"/>
        <v>0</v>
      </c>
    </row>
    <row r="26" spans="2:8" ht="13.8">
      <c r="B26" s="74"/>
      <c r="C26" s="68"/>
      <c r="D26" s="1"/>
      <c r="E26" s="1" t="str">
        <f>IF(ISERROR(VLOOKUP(D26,Categorias!A:B,2,0)),"",VLOOKUP(D26,Categorias!A:B,2,0))</f>
        <v/>
      </c>
      <c r="F26" s="80"/>
      <c r="G26" s="5"/>
      <c r="H26" s="79">
        <f t="shared" si="0"/>
        <v>0</v>
      </c>
    </row>
    <row r="27" spans="2:8" ht="13.8">
      <c r="B27" s="74"/>
      <c r="C27" s="68"/>
      <c r="D27" s="1"/>
      <c r="E27" s="1" t="str">
        <f>IF(ISERROR(VLOOKUP(D27,Categorias!A:B,2,0)),"",VLOOKUP(D27,Categorias!A:B,2,0))</f>
        <v/>
      </c>
      <c r="F27" s="80"/>
      <c r="G27" s="5"/>
      <c r="H27" s="79">
        <f t="shared" si="0"/>
        <v>0</v>
      </c>
    </row>
    <row r="28" spans="2:8" ht="13.8">
      <c r="B28" s="74"/>
      <c r="C28" s="68"/>
      <c r="D28" s="1"/>
      <c r="E28" s="1" t="str">
        <f>IF(ISERROR(VLOOKUP(D28,Categorias!A:B,2,0)),"",VLOOKUP(D28,Categorias!A:B,2,0))</f>
        <v/>
      </c>
      <c r="F28" s="80"/>
      <c r="G28" s="5"/>
      <c r="H28" s="79">
        <f t="shared" si="0"/>
        <v>0</v>
      </c>
    </row>
    <row r="29" spans="2:8" ht="13.8">
      <c r="B29" s="74"/>
      <c r="C29" s="68"/>
      <c r="D29" s="1"/>
      <c r="E29" s="1" t="str">
        <f>IF(ISERROR(VLOOKUP(D29,Categorias!A:B,2,0)),"",VLOOKUP(D29,Categorias!A:B,2,0))</f>
        <v/>
      </c>
      <c r="F29" s="80"/>
      <c r="G29" s="5"/>
      <c r="H29" s="79">
        <f t="shared" si="0"/>
        <v>0</v>
      </c>
    </row>
    <row r="30" spans="2:8" ht="13.8">
      <c r="B30" s="75"/>
      <c r="C30" s="68"/>
      <c r="D30" s="1"/>
      <c r="E30" s="1" t="str">
        <f>IF(ISERROR(VLOOKUP(D30,Categorias!A:B,2,0)),"",VLOOKUP(D30,Categorias!A:B,2,0))</f>
        <v/>
      </c>
      <c r="F30" s="80"/>
      <c r="G30" s="5"/>
      <c r="H30" s="79">
        <f t="shared" si="0"/>
        <v>0</v>
      </c>
    </row>
    <row r="31" spans="2:8" ht="13.8">
      <c r="B31" s="75"/>
      <c r="C31" s="68"/>
      <c r="D31" s="1"/>
      <c r="E31" s="1" t="str">
        <f>IF(ISERROR(VLOOKUP(D31,Categorias!A:B,2,0)),"",VLOOKUP(D31,Categorias!A:B,2,0))</f>
        <v/>
      </c>
      <c r="F31" s="80"/>
      <c r="G31" s="5"/>
      <c r="H31" s="73">
        <f t="shared" si="0"/>
        <v>0</v>
      </c>
    </row>
    <row r="32" spans="2:8" ht="13.8">
      <c r="B32" s="75"/>
      <c r="C32" s="70"/>
      <c r="D32" s="1"/>
      <c r="E32" s="1" t="str">
        <f>IF(ISERROR(VLOOKUP(D32,Categorias!A:B,2,0)),"",VLOOKUP(D32,Categorias!A:B,2,0))</f>
        <v/>
      </c>
      <c r="F32" s="80"/>
      <c r="G32" s="5"/>
      <c r="H32" s="73">
        <f t="shared" si="0"/>
        <v>0</v>
      </c>
    </row>
    <row r="33" spans="2:8" ht="13.8">
      <c r="B33" s="75"/>
      <c r="C33" s="70"/>
      <c r="D33" s="1"/>
      <c r="E33" s="1" t="str">
        <f>IF(ISERROR(VLOOKUP(D33,Categorias!A:B,2,0)),"",VLOOKUP(D33,Categorias!A:B,2,0))</f>
        <v/>
      </c>
      <c r="F33" s="80"/>
      <c r="G33" s="5"/>
      <c r="H33" s="73">
        <f t="shared" si="0"/>
        <v>0</v>
      </c>
    </row>
    <row r="34" spans="2:8" ht="13.8">
      <c r="B34" s="75"/>
      <c r="C34" s="70"/>
      <c r="D34" s="1"/>
      <c r="E34" s="1" t="str">
        <f>IF(ISERROR(VLOOKUP(D34,Categorias!A:B,2,0)),"",VLOOKUP(D34,Categorias!A:B,2,0))</f>
        <v/>
      </c>
      <c r="F34" s="80"/>
      <c r="G34" s="5"/>
      <c r="H34" s="73">
        <f t="shared" si="0"/>
        <v>0</v>
      </c>
    </row>
    <row r="35" spans="2:8" ht="13.8">
      <c r="B35" s="75"/>
      <c r="C35" s="70"/>
      <c r="D35" s="1"/>
      <c r="E35" s="1" t="str">
        <f>IF(ISERROR(VLOOKUP(D35,Categorias!A:B,2,0)),"",VLOOKUP(D35,Categorias!A:B,2,0))</f>
        <v/>
      </c>
      <c r="F35" s="80"/>
      <c r="G35" s="5"/>
      <c r="H35" s="73">
        <f t="shared" si="0"/>
        <v>0</v>
      </c>
    </row>
    <row r="36" spans="2:8" ht="13.8">
      <c r="B36" s="75"/>
      <c r="C36" s="70"/>
      <c r="D36" s="1"/>
      <c r="E36" s="1" t="str">
        <f>IF(ISERROR(VLOOKUP(D36,Categorias!A:B,2,0)),"",VLOOKUP(D36,Categorias!A:B,2,0))</f>
        <v/>
      </c>
      <c r="F36" s="80"/>
      <c r="G36" s="5"/>
      <c r="H36" s="73">
        <f t="shared" si="0"/>
        <v>0</v>
      </c>
    </row>
    <row r="37" spans="2:8" ht="13.8">
      <c r="B37" s="75"/>
      <c r="C37" s="70"/>
      <c r="D37" s="1"/>
      <c r="E37" s="1" t="str">
        <f>IF(ISERROR(VLOOKUP(D37,Categorias!A:B,2,0)),"",VLOOKUP(D37,Categorias!A:B,2,0))</f>
        <v/>
      </c>
      <c r="F37" s="80"/>
      <c r="G37" s="5"/>
      <c r="H37" s="73">
        <f t="shared" si="0"/>
        <v>0</v>
      </c>
    </row>
    <row r="38" spans="2:8" ht="13.8">
      <c r="B38" s="75"/>
      <c r="C38" s="69"/>
      <c r="D38" s="1"/>
      <c r="E38" s="1" t="str">
        <f>IF(ISERROR(VLOOKUP(D38,Categorias!A:B,2,0)),"",VLOOKUP(D38,Categorias!A:B,2,0))</f>
        <v/>
      </c>
      <c r="F38" s="80"/>
      <c r="G38" s="5"/>
      <c r="H38" s="73">
        <f t="shared" si="0"/>
        <v>0</v>
      </c>
    </row>
    <row r="39" spans="2:8" ht="13.8">
      <c r="B39" s="75"/>
      <c r="C39" s="70"/>
      <c r="D39" s="1"/>
      <c r="E39" s="1" t="str">
        <f>IF(ISERROR(VLOOKUP(D39,Categorias!A:B,2,0)),"",VLOOKUP(D39,Categorias!A:B,2,0))</f>
        <v/>
      </c>
      <c r="F39" s="80"/>
      <c r="G39" s="5"/>
      <c r="H39" s="73">
        <f t="shared" si="0"/>
        <v>0</v>
      </c>
    </row>
    <row r="40" spans="2:8" ht="13.8">
      <c r="B40" s="75"/>
      <c r="C40" s="70"/>
      <c r="D40" s="1"/>
      <c r="E40" s="1" t="str">
        <f>IF(ISERROR(VLOOKUP(D40,Categorias!A:B,2,0)),"",VLOOKUP(D40,Categorias!A:B,2,0))</f>
        <v/>
      </c>
      <c r="F40" s="80"/>
      <c r="G40" s="5"/>
      <c r="H40" s="73">
        <f t="shared" si="0"/>
        <v>0</v>
      </c>
    </row>
    <row r="41" spans="2:8" ht="13.8">
      <c r="B41" s="75"/>
      <c r="C41" s="70"/>
      <c r="D41" s="1"/>
      <c r="E41" s="1" t="str">
        <f>IF(ISERROR(VLOOKUP(D41,Categorias!A:B,2,0)),"",VLOOKUP(D41,Categorias!A:B,2,0))</f>
        <v/>
      </c>
      <c r="F41" s="80"/>
      <c r="G41" s="5"/>
      <c r="H41" s="73">
        <f t="shared" si="0"/>
        <v>0</v>
      </c>
    </row>
    <row r="42" spans="2:8" ht="13.8">
      <c r="B42" s="75"/>
      <c r="C42" s="70"/>
      <c r="D42" s="1"/>
      <c r="E42" s="1" t="str">
        <f>IF(ISERROR(VLOOKUP(D42,Categorias!A:B,2,0)),"",VLOOKUP(D42,Categorias!A:B,2,0))</f>
        <v/>
      </c>
      <c r="F42" s="80"/>
      <c r="G42" s="5"/>
      <c r="H42" s="73">
        <f t="shared" si="0"/>
        <v>0</v>
      </c>
    </row>
    <row r="43" spans="2:8" ht="13.8">
      <c r="B43" s="75"/>
      <c r="C43" s="70"/>
      <c r="D43" s="1"/>
      <c r="E43" s="1" t="str">
        <f>IF(ISERROR(VLOOKUP(D43,Categorias!A:B,2,0)),"",VLOOKUP(D43,Categorias!A:B,2,0))</f>
        <v/>
      </c>
      <c r="F43" s="80"/>
      <c r="G43" s="5"/>
      <c r="H43" s="73">
        <f t="shared" si="0"/>
        <v>0</v>
      </c>
    </row>
    <row r="44" spans="2:8" ht="13.8">
      <c r="B44" s="75"/>
      <c r="D44" s="1"/>
      <c r="E44" s="1"/>
      <c r="F44" s="80"/>
      <c r="G44" s="5"/>
      <c r="H44" s="73">
        <f t="shared" si="0"/>
        <v>0</v>
      </c>
    </row>
    <row r="45" spans="2:8" ht="13.8">
      <c r="B45" s="75"/>
      <c r="D45" s="1"/>
      <c r="E45" s="1" t="str">
        <f>IF(ISERROR(VLOOKUP(D45,Categorias!A:B,2,0)),"",VLOOKUP(D45,Categorias!A:B,2,0))</f>
        <v/>
      </c>
      <c r="F45" s="80"/>
      <c r="G45" s="5"/>
      <c r="H45" s="73">
        <f t="shared" si="0"/>
        <v>0</v>
      </c>
    </row>
    <row r="46" spans="2:8" ht="13.8">
      <c r="B46" s="75"/>
      <c r="D46" s="1"/>
      <c r="E46" s="1" t="str">
        <f>IF(ISERROR(VLOOKUP(D46,Categorias!A:B,2,0)),"",VLOOKUP(D46,Categorias!A:B,2,0))</f>
        <v/>
      </c>
      <c r="F46" s="80"/>
      <c r="G46" s="5"/>
      <c r="H46" s="73">
        <f t="shared" si="0"/>
        <v>0</v>
      </c>
    </row>
    <row r="47" spans="2:8" ht="13.8">
      <c r="B47" s="75"/>
      <c r="D47" s="1"/>
      <c r="E47" s="1" t="str">
        <f>IF(ISERROR(VLOOKUP(D47,Categorias!A:B,2,0)),"",VLOOKUP(D47,Categorias!A:B,2,0))</f>
        <v/>
      </c>
      <c r="F47" s="80"/>
      <c r="G47" s="5"/>
      <c r="H47" s="73">
        <f t="shared" si="0"/>
        <v>0</v>
      </c>
    </row>
    <row r="48" spans="2:8" ht="13.8">
      <c r="B48" s="75"/>
      <c r="D48" s="1"/>
      <c r="E48" s="1" t="str">
        <f>IF(ISERROR(VLOOKUP(D48,Categorias!A:B,2,0)),"",VLOOKUP(D48,Categorias!A:B,2,0))</f>
        <v/>
      </c>
      <c r="F48" s="80"/>
      <c r="G48" s="5"/>
      <c r="H48" s="73">
        <f t="shared" si="0"/>
        <v>0</v>
      </c>
    </row>
    <row r="49" spans="2:8" ht="13.8">
      <c r="B49" s="75"/>
      <c r="D49" s="1"/>
      <c r="E49" s="1" t="str">
        <f>IF(ISERROR(VLOOKUP(D49,Categorias!A:B,2,0)),"",VLOOKUP(D49,Categorias!A:B,2,0))</f>
        <v/>
      </c>
      <c r="F49" s="80"/>
      <c r="G49" s="5"/>
      <c r="H49" s="73">
        <f t="shared" si="0"/>
        <v>0</v>
      </c>
    </row>
    <row r="50" spans="2:8" ht="13.8">
      <c r="B50" s="75"/>
      <c r="D50" s="1"/>
      <c r="E50" s="1" t="str">
        <f>IF(ISERROR(VLOOKUP(D50,Categorias!A:B,2,0)),"",VLOOKUP(D50,Categorias!A:B,2,0))</f>
        <v/>
      </c>
      <c r="F50" s="80"/>
      <c r="G50" s="5"/>
      <c r="H50" s="73">
        <f t="shared" si="0"/>
        <v>0</v>
      </c>
    </row>
    <row r="51" spans="2:8" ht="13.8">
      <c r="B51" s="75"/>
      <c r="D51" s="1"/>
      <c r="E51" s="1" t="str">
        <f>IF(ISERROR(VLOOKUP(D51,Categorias!A:B,2,0)),"",VLOOKUP(D51,Categorias!A:B,2,0))</f>
        <v/>
      </c>
      <c r="F51" s="80"/>
      <c r="G51" s="5"/>
      <c r="H51" s="73">
        <f t="shared" si="0"/>
        <v>0</v>
      </c>
    </row>
    <row r="52" spans="2:8" ht="13.8">
      <c r="B52" s="75"/>
      <c r="D52" s="1"/>
      <c r="E52" s="1" t="str">
        <f>IF(ISERROR(VLOOKUP(D52,Categorias!A:B,2,0)),"",VLOOKUP(D52,Categorias!A:B,2,0))</f>
        <v/>
      </c>
      <c r="F52" s="80"/>
      <c r="G52" s="5"/>
      <c r="H52" s="73">
        <f t="shared" si="0"/>
        <v>0</v>
      </c>
    </row>
    <row r="53" spans="2:8" ht="13.8">
      <c r="B53" s="75"/>
      <c r="D53" s="1"/>
      <c r="E53" s="1" t="str">
        <f>IF(ISERROR(VLOOKUP(D53,Categorias!A:B,2,0)),"",VLOOKUP(D53,Categorias!A:B,2,0))</f>
        <v/>
      </c>
      <c r="F53" s="80"/>
      <c r="G53" s="5"/>
      <c r="H53" s="73">
        <f t="shared" si="0"/>
        <v>0</v>
      </c>
    </row>
    <row r="54" spans="2:8" ht="13.8">
      <c r="B54" s="75"/>
      <c r="D54" s="1"/>
      <c r="E54" s="1" t="str">
        <f>IF(ISERROR(VLOOKUP(D54,Categorias!A:B,2,0)),"",VLOOKUP(D54,Categorias!A:B,2,0))</f>
        <v/>
      </c>
      <c r="F54" s="80"/>
      <c r="G54" s="5"/>
      <c r="H54" s="73">
        <f t="shared" si="0"/>
        <v>0</v>
      </c>
    </row>
    <row r="55" spans="2:8" ht="13.8">
      <c r="B55" s="75"/>
      <c r="D55" s="1"/>
      <c r="E55" s="1" t="str">
        <f>IF(ISERROR(VLOOKUP(D55,Categorias!A:B,2,0)),"",VLOOKUP(D55,Categorias!A:B,2,0))</f>
        <v/>
      </c>
      <c r="F55" s="80"/>
      <c r="G55" s="5"/>
      <c r="H55" s="73">
        <f t="shared" si="0"/>
        <v>0</v>
      </c>
    </row>
    <row r="56" spans="2:8" ht="13.8">
      <c r="B56" s="75"/>
      <c r="D56" s="1"/>
      <c r="E56" s="1" t="str">
        <f>IF(ISERROR(VLOOKUP(D56,Categorias!A:B,2,0)),"",VLOOKUP(D56,Categorias!A:B,2,0))</f>
        <v/>
      </c>
      <c r="F56" s="80"/>
      <c r="G56" s="5"/>
      <c r="H56" s="73">
        <f t="shared" si="0"/>
        <v>0</v>
      </c>
    </row>
    <row r="57" spans="2:8" ht="13.8">
      <c r="B57" s="75"/>
      <c r="D57" s="1"/>
      <c r="E57" s="1" t="str">
        <f>IF(ISERROR(VLOOKUP(D57,Categorias!A:B,2,0)),"",VLOOKUP(D57,Categorias!A:B,2,0))</f>
        <v/>
      </c>
      <c r="F57" s="80"/>
      <c r="G57" s="5"/>
      <c r="H57" s="73">
        <f t="shared" si="0"/>
        <v>0</v>
      </c>
    </row>
    <row r="58" spans="2:8" ht="13.8">
      <c r="D58" s="1"/>
      <c r="E58" s="1" t="str">
        <f>IF(ISERROR(VLOOKUP(D58,Categorias!A:B,2,0)),"",VLOOKUP(D58,Categorias!A:B,2,0))</f>
        <v/>
      </c>
      <c r="F58" s="80"/>
      <c r="G58" s="5"/>
      <c r="H58" s="73">
        <f t="shared" si="0"/>
        <v>0</v>
      </c>
    </row>
    <row r="59" spans="2:8" ht="13.8">
      <c r="D59" s="1"/>
      <c r="E59" s="1" t="str">
        <f>IF(ISERROR(VLOOKUP(D59,Categorias!A:B,2,0)),"",VLOOKUP(D59,Categorias!A:B,2,0))</f>
        <v/>
      </c>
      <c r="F59" s="80"/>
      <c r="G59" s="5"/>
      <c r="H59" s="73">
        <f t="shared" si="0"/>
        <v>0</v>
      </c>
    </row>
    <row r="60" spans="2:8" ht="13.8">
      <c r="D60" s="1"/>
      <c r="E60" s="1" t="str">
        <f>IF(ISERROR(VLOOKUP(D60,Categorias!A:B,2,0)),"",VLOOKUP(D60,Categorias!A:B,2,0))</f>
        <v/>
      </c>
      <c r="F60" s="80"/>
      <c r="G60" s="5"/>
      <c r="H60" s="73">
        <f t="shared" si="0"/>
        <v>0</v>
      </c>
    </row>
    <row r="61" spans="2:8" ht="13.8">
      <c r="D61" s="1"/>
      <c r="E61" s="1" t="str">
        <f>IF(ISERROR(VLOOKUP(D61,Categorias!A:B,2,0)),"",VLOOKUP(D61,Categorias!A:B,2,0))</f>
        <v/>
      </c>
      <c r="F61" s="80"/>
      <c r="G61" s="5"/>
      <c r="H61" s="73">
        <f t="shared" si="0"/>
        <v>0</v>
      </c>
    </row>
    <row r="62" spans="2:8" ht="13.8">
      <c r="D62" s="1"/>
      <c r="E62" s="1" t="str">
        <f>IF(ISERROR(VLOOKUP(D62,Categorias!A:B,2,0)),"",VLOOKUP(D62,Categorias!A:B,2,0))</f>
        <v/>
      </c>
      <c r="F62" s="80"/>
      <c r="G62" s="5"/>
      <c r="H62" s="73">
        <f t="shared" si="0"/>
        <v>0</v>
      </c>
    </row>
    <row r="63" spans="2:8" ht="13.8">
      <c r="D63" s="1"/>
      <c r="E63" s="1" t="str">
        <f>IF(ISERROR(VLOOKUP(D63,Categorias!A:B,2,0)),"",VLOOKUP(D63,Categorias!A:B,2,0))</f>
        <v/>
      </c>
      <c r="F63" s="80"/>
      <c r="G63" s="5"/>
      <c r="H63" s="73">
        <f t="shared" si="0"/>
        <v>0</v>
      </c>
    </row>
    <row r="64" spans="2:8" ht="13.8">
      <c r="D64" s="1"/>
      <c r="E64" s="1" t="str">
        <f>IF(ISERROR(VLOOKUP(D64,Categorias!A:B,2,0)),"",VLOOKUP(D64,Categorias!A:B,2,0))</f>
        <v/>
      </c>
      <c r="F64" s="80"/>
      <c r="G64" s="5"/>
      <c r="H64" s="73">
        <f t="shared" si="0"/>
        <v>0</v>
      </c>
    </row>
    <row r="65" spans="4:8" ht="13.8">
      <c r="D65" s="1"/>
      <c r="E65" s="1" t="str">
        <f>IF(ISERROR(VLOOKUP(D65,Categorias!A:B,2,0)),"",VLOOKUP(D65,Categorias!A:B,2,0))</f>
        <v/>
      </c>
      <c r="F65" s="80"/>
      <c r="G65" s="5"/>
      <c r="H65" s="73">
        <f t="shared" si="0"/>
        <v>0</v>
      </c>
    </row>
    <row r="66" spans="4:8" ht="13.8">
      <c r="D66" s="1"/>
      <c r="E66" s="1" t="str">
        <f>IF(ISERROR(VLOOKUP(D66,Categorias!A:B,2,0)),"",VLOOKUP(D66,Categorias!A:B,2,0))</f>
        <v/>
      </c>
      <c r="F66" s="80"/>
      <c r="G66" s="5"/>
      <c r="H66" s="73">
        <f t="shared" si="0"/>
        <v>0</v>
      </c>
    </row>
    <row r="67" spans="4:8" ht="13.8">
      <c r="D67" s="1"/>
      <c r="E67" s="1" t="str">
        <f>IF(ISERROR(VLOOKUP(D67,Categorias!A:B,2,0)),"",VLOOKUP(D67,Categorias!A:B,2,0))</f>
        <v/>
      </c>
      <c r="F67" s="80"/>
      <c r="G67" s="5"/>
      <c r="H67" s="73">
        <f t="shared" si="0"/>
        <v>0</v>
      </c>
    </row>
    <row r="68" spans="4:8" ht="13.8">
      <c r="D68" s="1"/>
      <c r="E68" s="1" t="str">
        <f>IF(ISERROR(VLOOKUP(D68,Categorias!A:B,2,0)),"",VLOOKUP(D68,Categorias!A:B,2,0))</f>
        <v/>
      </c>
      <c r="F68" s="80"/>
      <c r="G68" s="5"/>
      <c r="H68" s="73">
        <f t="shared" si="0"/>
        <v>0</v>
      </c>
    </row>
    <row r="69" spans="4:8" ht="13.8">
      <c r="D69" s="1"/>
      <c r="E69" s="1" t="str">
        <f>IF(ISERROR(VLOOKUP(D69,Categorias!A:B,2,0)),"",VLOOKUP(D69,Categorias!A:B,2,0))</f>
        <v/>
      </c>
      <c r="F69" s="80"/>
      <c r="G69" s="5"/>
      <c r="H69" s="73">
        <f t="shared" si="0"/>
        <v>0</v>
      </c>
    </row>
    <row r="70" spans="4:8" ht="13.8">
      <c r="D70" s="1"/>
      <c r="E70" s="1" t="str">
        <f>IF(ISERROR(VLOOKUP(D70,Categorias!A:B,2,0)),"",VLOOKUP(D70,Categorias!A:B,2,0))</f>
        <v/>
      </c>
      <c r="F70" s="80"/>
      <c r="G70" s="5"/>
      <c r="H70" s="73">
        <f t="shared" si="0"/>
        <v>0</v>
      </c>
    </row>
    <row r="71" spans="4:8" ht="13.8">
      <c r="D71" s="1"/>
      <c r="E71" s="1" t="str">
        <f>IF(ISERROR(VLOOKUP(D71,Categorias!A:B,2,0)),"",VLOOKUP(D71,Categorias!A:B,2,0))</f>
        <v/>
      </c>
      <c r="F71" s="80"/>
      <c r="G71" s="5"/>
      <c r="H71" s="73">
        <f t="shared" si="0"/>
        <v>0</v>
      </c>
    </row>
    <row r="72" spans="4:8" ht="13.8">
      <c r="D72" s="1"/>
      <c r="E72" s="1" t="str">
        <f>IF(ISERROR(VLOOKUP(D72,Categorias!A:B,2,0)),"",VLOOKUP(D72,Categorias!A:B,2,0))</f>
        <v/>
      </c>
      <c r="F72" s="80"/>
      <c r="G72" s="5"/>
      <c r="H72" s="73">
        <f t="shared" si="0"/>
        <v>0</v>
      </c>
    </row>
    <row r="73" spans="4:8" ht="13.8">
      <c r="D73" s="1"/>
      <c r="E73" s="1" t="str">
        <f>IF(ISERROR(VLOOKUP(D73,Categorias!A:B,2,0)),"",VLOOKUP(D73,Categorias!A:B,2,0))</f>
        <v/>
      </c>
      <c r="F73" s="80"/>
      <c r="G73" s="5"/>
      <c r="H73" s="73">
        <f t="shared" si="0"/>
        <v>0</v>
      </c>
    </row>
    <row r="74" spans="4:8" ht="13.8">
      <c r="D74" s="1"/>
      <c r="E74" s="1" t="str">
        <f>IF(ISERROR(VLOOKUP(D74,Categorias!A:B,2,0)),"",VLOOKUP(D74,Categorias!A:B,2,0))</f>
        <v/>
      </c>
      <c r="F74" s="80"/>
      <c r="G74" s="5"/>
      <c r="H74" s="73">
        <f t="shared" si="0"/>
        <v>0</v>
      </c>
    </row>
    <row r="75" spans="4:8" ht="13.8">
      <c r="D75" s="1"/>
      <c r="E75" s="1" t="str">
        <f>IF(ISERROR(VLOOKUP(D75,Categorias!A:B,2,0)),"",VLOOKUP(D75,Categorias!A:B,2,0))</f>
        <v/>
      </c>
      <c r="F75" s="80"/>
      <c r="G75" s="5"/>
      <c r="H75" s="73">
        <f t="shared" si="0"/>
        <v>0</v>
      </c>
    </row>
    <row r="76" spans="4:8" ht="13.8">
      <c r="D76" s="1"/>
      <c r="E76" s="1" t="str">
        <f>IF(ISERROR(VLOOKUP(D76,Categorias!A:B,2,0)),"",VLOOKUP(D76,Categorias!A:B,2,0))</f>
        <v/>
      </c>
      <c r="F76" s="80"/>
      <c r="G76" s="5"/>
      <c r="H76" s="73">
        <f t="shared" si="0"/>
        <v>0</v>
      </c>
    </row>
    <row r="77" spans="4:8" ht="13.8">
      <c r="D77" s="1"/>
      <c r="E77" s="1" t="str">
        <f>IF(ISERROR(VLOOKUP(D77,Categorias!A:B,2,0)),"",VLOOKUP(D77,Categorias!A:B,2,0))</f>
        <v/>
      </c>
      <c r="F77" s="80"/>
      <c r="G77" s="5"/>
      <c r="H77" s="73">
        <f t="shared" si="0"/>
        <v>0</v>
      </c>
    </row>
    <row r="78" spans="4:8" ht="13.8">
      <c r="D78" s="1"/>
      <c r="E78" s="1" t="str">
        <f>IF(ISERROR(VLOOKUP(D78,Categorias!A:B,2,0)),"",VLOOKUP(D78,Categorias!A:B,2,0))</f>
        <v/>
      </c>
      <c r="F78" s="80"/>
      <c r="G78" s="5"/>
      <c r="H78" s="73">
        <f t="shared" ref="H78:H141" si="1">H77+F78-G78</f>
        <v>0</v>
      </c>
    </row>
    <row r="79" spans="4:8" ht="13.8">
      <c r="D79" s="1"/>
      <c r="E79" s="1" t="str">
        <f>IF(ISERROR(VLOOKUP(D79,Categorias!A:B,2,0)),"",VLOOKUP(D79,Categorias!A:B,2,0))</f>
        <v/>
      </c>
      <c r="F79" s="80"/>
      <c r="G79" s="5"/>
      <c r="H79" s="73">
        <f t="shared" si="1"/>
        <v>0</v>
      </c>
    </row>
    <row r="80" spans="4:8" ht="13.8">
      <c r="D80" s="1"/>
      <c r="E80" s="1" t="str">
        <f>IF(ISERROR(VLOOKUP(D80,Categorias!A:B,2,0)),"",VLOOKUP(D80,Categorias!A:B,2,0))</f>
        <v/>
      </c>
      <c r="F80" s="80"/>
      <c r="G80" s="5"/>
      <c r="H80" s="73">
        <f t="shared" si="1"/>
        <v>0</v>
      </c>
    </row>
    <row r="81" spans="4:8" ht="13.8">
      <c r="D81" s="1"/>
      <c r="E81" s="1" t="str">
        <f>IF(ISERROR(VLOOKUP(D81,Categorias!A:B,2,0)),"",VLOOKUP(D81,Categorias!A:B,2,0))</f>
        <v/>
      </c>
      <c r="F81" s="80"/>
      <c r="G81" s="5"/>
      <c r="H81" s="73">
        <f t="shared" si="1"/>
        <v>0</v>
      </c>
    </row>
    <row r="82" spans="4:8" ht="13.8">
      <c r="D82" s="1"/>
      <c r="E82" s="1" t="str">
        <f>IF(ISERROR(VLOOKUP(D82,Categorias!A:B,2,0)),"",VLOOKUP(D82,Categorias!A:B,2,0))</f>
        <v/>
      </c>
      <c r="F82" s="80"/>
      <c r="G82" s="5"/>
      <c r="H82" s="73">
        <f t="shared" si="1"/>
        <v>0</v>
      </c>
    </row>
    <row r="83" spans="4:8" ht="13.8">
      <c r="D83" s="1"/>
      <c r="E83" s="1" t="str">
        <f>IF(ISERROR(VLOOKUP(D83,Categorias!A:B,2,0)),"",VLOOKUP(D83,Categorias!A:B,2,0))</f>
        <v/>
      </c>
      <c r="F83" s="80"/>
      <c r="G83" s="5"/>
      <c r="H83" s="73">
        <f t="shared" si="1"/>
        <v>0</v>
      </c>
    </row>
    <row r="84" spans="4:8" ht="13.8">
      <c r="D84" s="1"/>
      <c r="E84" s="1" t="str">
        <f>IF(ISERROR(VLOOKUP(D84,Categorias!A:B,2,0)),"",VLOOKUP(D84,Categorias!A:B,2,0))</f>
        <v/>
      </c>
      <c r="F84" s="80"/>
      <c r="G84" s="5"/>
      <c r="H84" s="73">
        <f t="shared" si="1"/>
        <v>0</v>
      </c>
    </row>
    <row r="85" spans="4:8" ht="13.8">
      <c r="D85" s="1"/>
      <c r="E85" s="1" t="str">
        <f>IF(ISERROR(VLOOKUP(D85,Categorias!A:B,2,0)),"",VLOOKUP(D85,Categorias!A:B,2,0))</f>
        <v/>
      </c>
      <c r="F85" s="80"/>
      <c r="G85" s="5"/>
      <c r="H85" s="73">
        <f t="shared" si="1"/>
        <v>0</v>
      </c>
    </row>
    <row r="86" spans="4:8" ht="13.8">
      <c r="D86" s="1"/>
      <c r="E86" s="1" t="str">
        <f>IF(ISERROR(VLOOKUP(D86,Categorias!A:B,2,0)),"",VLOOKUP(D86,Categorias!A:B,2,0))</f>
        <v/>
      </c>
      <c r="F86" s="80"/>
      <c r="G86" s="5"/>
      <c r="H86" s="73">
        <f t="shared" si="1"/>
        <v>0</v>
      </c>
    </row>
    <row r="87" spans="4:8" ht="13.8">
      <c r="D87" s="1"/>
      <c r="E87" s="1" t="str">
        <f>IF(ISERROR(VLOOKUP(D87,Categorias!A:B,2,0)),"",VLOOKUP(D87,Categorias!A:B,2,0))</f>
        <v/>
      </c>
      <c r="F87" s="80"/>
      <c r="G87" s="5"/>
      <c r="H87" s="73">
        <f t="shared" si="1"/>
        <v>0</v>
      </c>
    </row>
    <row r="88" spans="4:8" ht="13.8">
      <c r="D88" s="1"/>
      <c r="E88" s="1" t="str">
        <f>IF(ISERROR(VLOOKUP(D88,Categorias!A:B,2,0)),"",VLOOKUP(D88,Categorias!A:B,2,0))</f>
        <v/>
      </c>
      <c r="F88" s="80"/>
      <c r="G88" s="5"/>
      <c r="H88" s="73">
        <f t="shared" si="1"/>
        <v>0</v>
      </c>
    </row>
    <row r="89" spans="4:8" ht="13.8">
      <c r="D89" s="1"/>
      <c r="E89" s="1" t="str">
        <f>IF(ISERROR(VLOOKUP(D89,Categorias!A:B,2,0)),"",VLOOKUP(D89,Categorias!A:B,2,0))</f>
        <v/>
      </c>
      <c r="F89" s="80"/>
      <c r="G89" s="5"/>
      <c r="H89" s="73">
        <f t="shared" si="1"/>
        <v>0</v>
      </c>
    </row>
    <row r="90" spans="4:8" ht="13.8">
      <c r="D90" s="1"/>
      <c r="E90" s="1" t="str">
        <f>IF(ISERROR(VLOOKUP(D90,Categorias!A:B,2,0)),"",VLOOKUP(D90,Categorias!A:B,2,0))</f>
        <v/>
      </c>
      <c r="F90" s="80"/>
      <c r="G90" s="5"/>
      <c r="H90" s="73">
        <f t="shared" si="1"/>
        <v>0</v>
      </c>
    </row>
    <row r="91" spans="4:8" ht="13.8">
      <c r="D91" s="1"/>
      <c r="E91" s="1" t="str">
        <f>IF(ISERROR(VLOOKUP(D91,Categorias!A:B,2,0)),"",VLOOKUP(D91,Categorias!A:B,2,0))</f>
        <v/>
      </c>
      <c r="F91" s="80"/>
      <c r="G91" s="5"/>
      <c r="H91" s="73">
        <f t="shared" si="1"/>
        <v>0</v>
      </c>
    </row>
    <row r="92" spans="4:8" ht="13.8">
      <c r="D92" s="1"/>
      <c r="E92" s="1" t="str">
        <f>IF(ISERROR(VLOOKUP(D92,Categorias!A:B,2,0)),"",VLOOKUP(D92,Categorias!A:B,2,0))</f>
        <v/>
      </c>
      <c r="F92" s="80"/>
      <c r="G92" s="5"/>
      <c r="H92" s="73">
        <f t="shared" si="1"/>
        <v>0</v>
      </c>
    </row>
    <row r="93" spans="4:8" ht="13.8">
      <c r="D93" s="1"/>
      <c r="E93" s="1" t="str">
        <f>IF(ISERROR(VLOOKUP(D93,Categorias!A:B,2,0)),"",VLOOKUP(D93,Categorias!A:B,2,0))</f>
        <v/>
      </c>
      <c r="F93" s="80"/>
      <c r="G93" s="5"/>
      <c r="H93" s="73">
        <f t="shared" si="1"/>
        <v>0</v>
      </c>
    </row>
    <row r="94" spans="4:8" ht="13.8">
      <c r="D94" s="1"/>
      <c r="E94" s="1" t="str">
        <f>IF(ISERROR(VLOOKUP(D94,Categorias!A:B,2,0)),"",VLOOKUP(D94,Categorias!A:B,2,0))</f>
        <v/>
      </c>
      <c r="F94" s="80"/>
      <c r="G94" s="5"/>
      <c r="H94" s="73">
        <f t="shared" si="1"/>
        <v>0</v>
      </c>
    </row>
    <row r="95" spans="4:8" ht="13.8">
      <c r="D95" s="1"/>
      <c r="E95" s="1" t="str">
        <f>IF(ISERROR(VLOOKUP(D95,Categorias!A:B,2,0)),"",VLOOKUP(D95,Categorias!A:B,2,0))</f>
        <v/>
      </c>
      <c r="F95" s="80"/>
      <c r="G95" s="5"/>
      <c r="H95" s="73">
        <f t="shared" si="1"/>
        <v>0</v>
      </c>
    </row>
    <row r="96" spans="4:8" ht="13.8">
      <c r="D96" s="1"/>
      <c r="E96" s="1" t="str">
        <f>IF(ISERROR(VLOOKUP(D96,Categorias!A:B,2,0)),"",VLOOKUP(D96,Categorias!A:B,2,0))</f>
        <v/>
      </c>
      <c r="F96" s="80"/>
      <c r="G96" s="5"/>
      <c r="H96" s="73">
        <f t="shared" si="1"/>
        <v>0</v>
      </c>
    </row>
    <row r="97" spans="4:8" ht="13.8">
      <c r="D97" s="1"/>
      <c r="E97" s="1" t="str">
        <f>IF(ISERROR(VLOOKUP(D97,Categorias!A:B,2,0)),"",VLOOKUP(D97,Categorias!A:B,2,0))</f>
        <v/>
      </c>
      <c r="F97" s="80"/>
      <c r="G97" s="5"/>
      <c r="H97" s="73">
        <f t="shared" si="1"/>
        <v>0</v>
      </c>
    </row>
    <row r="98" spans="4:8" ht="13.8">
      <c r="D98" s="1"/>
      <c r="E98" s="1" t="str">
        <f>IF(ISERROR(VLOOKUP(D98,Categorias!A:B,2,0)),"",VLOOKUP(D98,Categorias!A:B,2,0))</f>
        <v/>
      </c>
      <c r="F98" s="80"/>
      <c r="G98" s="5"/>
      <c r="H98" s="73">
        <f t="shared" si="1"/>
        <v>0</v>
      </c>
    </row>
    <row r="99" spans="4:8" ht="13.8">
      <c r="D99" s="1"/>
      <c r="E99" s="1" t="str">
        <f>IF(ISERROR(VLOOKUP(D99,Categorias!A:B,2,0)),"",VLOOKUP(D99,Categorias!A:B,2,0))</f>
        <v/>
      </c>
      <c r="F99" s="80"/>
      <c r="G99" s="5"/>
      <c r="H99" s="73">
        <f t="shared" si="1"/>
        <v>0</v>
      </c>
    </row>
    <row r="100" spans="4:8" ht="13.8">
      <c r="D100" s="1"/>
      <c r="E100" s="1" t="str">
        <f>IF(ISERROR(VLOOKUP(D100,Categorias!A:B,2,0)),"",VLOOKUP(D100,Categorias!A:B,2,0))</f>
        <v/>
      </c>
      <c r="F100" s="80"/>
      <c r="G100" s="5"/>
      <c r="H100" s="73">
        <f t="shared" si="1"/>
        <v>0</v>
      </c>
    </row>
    <row r="101" spans="4:8" ht="13.8">
      <c r="D101" s="1"/>
      <c r="E101" s="1" t="str">
        <f>IF(ISERROR(VLOOKUP(D101,Categorias!A:B,2,0)),"",VLOOKUP(D101,Categorias!A:B,2,0))</f>
        <v/>
      </c>
      <c r="F101" s="80"/>
      <c r="G101" s="5"/>
      <c r="H101" s="73">
        <f t="shared" si="1"/>
        <v>0</v>
      </c>
    </row>
    <row r="102" spans="4:8" ht="13.8">
      <c r="D102" s="1"/>
      <c r="E102" s="1" t="str">
        <f>IF(ISERROR(VLOOKUP(D102,Categorias!A:B,2,0)),"",VLOOKUP(D102,Categorias!A:B,2,0))</f>
        <v/>
      </c>
      <c r="F102" s="80"/>
      <c r="G102" s="5"/>
      <c r="H102" s="73">
        <f t="shared" si="1"/>
        <v>0</v>
      </c>
    </row>
    <row r="103" spans="4:8" ht="13.8">
      <c r="D103" s="1"/>
      <c r="E103" s="1" t="str">
        <f>IF(ISERROR(VLOOKUP(D103,Categorias!A:B,2,0)),"",VLOOKUP(D103,Categorias!A:B,2,0))</f>
        <v/>
      </c>
      <c r="F103" s="80"/>
      <c r="G103" s="5"/>
      <c r="H103" s="73">
        <f t="shared" si="1"/>
        <v>0</v>
      </c>
    </row>
    <row r="104" spans="4:8" ht="13.8">
      <c r="D104" s="1"/>
      <c r="E104" s="1" t="str">
        <f>IF(ISERROR(VLOOKUP(D104,Categorias!A:B,2,0)),"",VLOOKUP(D104,Categorias!A:B,2,0))</f>
        <v/>
      </c>
      <c r="F104" s="80"/>
      <c r="G104" s="5"/>
      <c r="H104" s="73">
        <f t="shared" si="1"/>
        <v>0</v>
      </c>
    </row>
    <row r="105" spans="4:8" ht="13.8">
      <c r="D105" s="1"/>
      <c r="E105" s="1" t="str">
        <f>IF(ISERROR(VLOOKUP(D105,Categorias!A:B,2,0)),"",VLOOKUP(D105,Categorias!A:B,2,0))</f>
        <v/>
      </c>
      <c r="F105" s="80"/>
      <c r="G105" s="5"/>
      <c r="H105" s="73">
        <f t="shared" si="1"/>
        <v>0</v>
      </c>
    </row>
    <row r="106" spans="4:8" ht="13.8">
      <c r="D106" s="1"/>
      <c r="E106" s="1" t="str">
        <f>IF(ISERROR(VLOOKUP(D106,Categorias!A:B,2,0)),"",VLOOKUP(D106,Categorias!A:B,2,0))</f>
        <v/>
      </c>
      <c r="F106" s="80"/>
      <c r="G106" s="5"/>
      <c r="H106" s="73">
        <f t="shared" si="1"/>
        <v>0</v>
      </c>
    </row>
    <row r="107" spans="4:8" ht="13.8">
      <c r="D107" s="1"/>
      <c r="E107" s="1" t="str">
        <f>IF(ISERROR(VLOOKUP(D107,Categorias!A:B,2,0)),"",VLOOKUP(D107,Categorias!A:B,2,0))</f>
        <v/>
      </c>
      <c r="F107" s="80"/>
      <c r="G107" s="5"/>
      <c r="H107" s="73">
        <f t="shared" si="1"/>
        <v>0</v>
      </c>
    </row>
    <row r="108" spans="4:8" ht="13.8">
      <c r="D108" s="1"/>
      <c r="E108" s="1" t="str">
        <f>IF(ISERROR(VLOOKUP(D108,Categorias!A:B,2,0)),"",VLOOKUP(D108,Categorias!A:B,2,0))</f>
        <v/>
      </c>
      <c r="F108" s="80"/>
      <c r="G108" s="5"/>
      <c r="H108" s="73">
        <f t="shared" si="1"/>
        <v>0</v>
      </c>
    </row>
    <row r="109" spans="4:8" ht="13.8">
      <c r="D109" s="1"/>
      <c r="E109" s="1" t="str">
        <f>IF(ISERROR(VLOOKUP(D109,Categorias!A:B,2,0)),"",VLOOKUP(D109,Categorias!A:B,2,0))</f>
        <v/>
      </c>
      <c r="F109" s="80"/>
      <c r="G109" s="5"/>
      <c r="H109" s="73">
        <f t="shared" si="1"/>
        <v>0</v>
      </c>
    </row>
    <row r="110" spans="4:8" ht="13.8">
      <c r="D110" s="1"/>
      <c r="E110" s="1" t="str">
        <f>IF(ISERROR(VLOOKUP(D110,Categorias!A:B,2,0)),"",VLOOKUP(D110,Categorias!A:B,2,0))</f>
        <v/>
      </c>
      <c r="F110" s="80"/>
      <c r="G110" s="5"/>
      <c r="H110" s="73">
        <f t="shared" si="1"/>
        <v>0</v>
      </c>
    </row>
    <row r="111" spans="4:8" ht="13.8">
      <c r="D111" s="1"/>
      <c r="E111" s="1" t="str">
        <f>IF(ISERROR(VLOOKUP(D111,Categorias!A:B,2,0)),"",VLOOKUP(D111,Categorias!A:B,2,0))</f>
        <v/>
      </c>
      <c r="F111" s="80"/>
      <c r="G111" s="5"/>
      <c r="H111" s="73">
        <f t="shared" si="1"/>
        <v>0</v>
      </c>
    </row>
    <row r="112" spans="4:8" ht="13.8">
      <c r="D112" s="1"/>
      <c r="E112" s="1" t="str">
        <f>IF(ISERROR(VLOOKUP(D112,Categorias!A:B,2,0)),"",VLOOKUP(D112,Categorias!A:B,2,0))</f>
        <v/>
      </c>
      <c r="F112" s="80"/>
      <c r="G112" s="5"/>
      <c r="H112" s="73">
        <f t="shared" si="1"/>
        <v>0</v>
      </c>
    </row>
    <row r="113" spans="4:8" ht="13.8">
      <c r="D113" s="1"/>
      <c r="E113" s="1" t="str">
        <f>IF(ISERROR(VLOOKUP(D113,Categorias!A:B,2,0)),"",VLOOKUP(D113,Categorias!A:B,2,0))</f>
        <v/>
      </c>
      <c r="F113" s="80"/>
      <c r="G113" s="5"/>
      <c r="H113" s="73">
        <f t="shared" si="1"/>
        <v>0</v>
      </c>
    </row>
    <row r="114" spans="4:8" ht="13.8">
      <c r="D114" s="1"/>
      <c r="E114" s="1" t="str">
        <f>IF(ISERROR(VLOOKUP(D114,Categorias!A:B,2,0)),"",VLOOKUP(D114,Categorias!A:B,2,0))</f>
        <v/>
      </c>
      <c r="F114" s="80"/>
      <c r="G114" s="5"/>
      <c r="H114" s="73">
        <f t="shared" si="1"/>
        <v>0</v>
      </c>
    </row>
    <row r="115" spans="4:8" ht="13.8">
      <c r="D115" s="1"/>
      <c r="E115" s="1" t="str">
        <f>IF(ISERROR(VLOOKUP(D115,Categorias!A:B,2,0)),"",VLOOKUP(D115,Categorias!A:B,2,0))</f>
        <v/>
      </c>
      <c r="F115" s="80"/>
      <c r="G115" s="5"/>
      <c r="H115" s="73">
        <f t="shared" si="1"/>
        <v>0</v>
      </c>
    </row>
    <row r="116" spans="4:8" ht="13.8">
      <c r="D116" s="1"/>
      <c r="E116" s="1" t="str">
        <f>IF(ISERROR(VLOOKUP(D116,Categorias!A:B,2,0)),"",VLOOKUP(D116,Categorias!A:B,2,0))</f>
        <v/>
      </c>
      <c r="F116" s="80"/>
      <c r="G116" s="5"/>
      <c r="H116" s="73">
        <f t="shared" si="1"/>
        <v>0</v>
      </c>
    </row>
    <row r="117" spans="4:8" ht="13.8">
      <c r="D117" s="1"/>
      <c r="E117" s="1" t="str">
        <f>IF(ISERROR(VLOOKUP(D117,Categorias!A:B,2,0)),"",VLOOKUP(D117,Categorias!A:B,2,0))</f>
        <v/>
      </c>
      <c r="F117" s="80"/>
      <c r="G117" s="5"/>
      <c r="H117" s="73">
        <f t="shared" si="1"/>
        <v>0</v>
      </c>
    </row>
    <row r="118" spans="4:8" ht="13.8">
      <c r="D118" s="1"/>
      <c r="E118" s="1" t="str">
        <f>IF(ISERROR(VLOOKUP(D118,Categorias!A:B,2,0)),"",VLOOKUP(D118,Categorias!A:B,2,0))</f>
        <v/>
      </c>
      <c r="F118" s="80"/>
      <c r="G118" s="5"/>
      <c r="H118" s="73">
        <f t="shared" si="1"/>
        <v>0</v>
      </c>
    </row>
    <row r="119" spans="4:8" ht="13.8">
      <c r="D119" s="1"/>
      <c r="E119" s="1" t="str">
        <f>IF(ISERROR(VLOOKUP(D119,Categorias!A:B,2,0)),"",VLOOKUP(D119,Categorias!A:B,2,0))</f>
        <v/>
      </c>
      <c r="F119" s="80"/>
      <c r="G119" s="5"/>
      <c r="H119" s="73">
        <f t="shared" si="1"/>
        <v>0</v>
      </c>
    </row>
    <row r="120" spans="4:8" ht="13.8">
      <c r="D120" s="1"/>
      <c r="E120" s="1" t="str">
        <f>IF(ISERROR(VLOOKUP(D120,Categorias!A:B,2,0)),"",VLOOKUP(D120,Categorias!A:B,2,0))</f>
        <v/>
      </c>
      <c r="F120" s="80"/>
      <c r="G120" s="5"/>
      <c r="H120" s="73">
        <f t="shared" si="1"/>
        <v>0</v>
      </c>
    </row>
    <row r="121" spans="4:8" ht="13.8">
      <c r="D121" s="1"/>
      <c r="E121" s="1" t="str">
        <f>IF(ISERROR(VLOOKUP(D121,Categorias!A:B,2,0)),"",VLOOKUP(D121,Categorias!A:B,2,0))</f>
        <v/>
      </c>
      <c r="F121" s="80"/>
      <c r="G121" s="5"/>
      <c r="H121" s="73">
        <f t="shared" si="1"/>
        <v>0</v>
      </c>
    </row>
    <row r="122" spans="4:8" ht="13.8">
      <c r="D122" s="1"/>
      <c r="E122" s="1" t="str">
        <f>IF(ISERROR(VLOOKUP(D122,Categorias!A:B,2,0)),"",VLOOKUP(D122,Categorias!A:B,2,0))</f>
        <v/>
      </c>
      <c r="F122" s="80"/>
      <c r="G122" s="5"/>
      <c r="H122" s="73">
        <f t="shared" si="1"/>
        <v>0</v>
      </c>
    </row>
    <row r="123" spans="4:8" ht="13.8">
      <c r="D123" s="1"/>
      <c r="E123" s="1" t="str">
        <f>IF(ISERROR(VLOOKUP(D123,Categorias!A:B,2,0)),"",VLOOKUP(D123,Categorias!A:B,2,0))</f>
        <v/>
      </c>
      <c r="F123" s="80"/>
      <c r="G123" s="5"/>
      <c r="H123" s="73">
        <f t="shared" si="1"/>
        <v>0</v>
      </c>
    </row>
    <row r="124" spans="4:8" ht="13.8">
      <c r="D124" s="1"/>
      <c r="E124" s="1" t="str">
        <f>IF(ISERROR(VLOOKUP(D124,Categorias!A:B,2,0)),"",VLOOKUP(D124,Categorias!A:B,2,0))</f>
        <v/>
      </c>
      <c r="F124" s="80"/>
      <c r="G124" s="5"/>
      <c r="H124" s="73">
        <f t="shared" si="1"/>
        <v>0</v>
      </c>
    </row>
    <row r="125" spans="4:8" ht="13.8">
      <c r="D125" s="1"/>
      <c r="E125" s="1" t="str">
        <f>IF(ISERROR(VLOOKUP(D125,Categorias!A:B,2,0)),"",VLOOKUP(D125,Categorias!A:B,2,0))</f>
        <v/>
      </c>
      <c r="F125" s="80"/>
      <c r="G125" s="5"/>
      <c r="H125" s="73">
        <f t="shared" si="1"/>
        <v>0</v>
      </c>
    </row>
    <row r="126" spans="4:8" ht="13.8">
      <c r="D126" s="1"/>
      <c r="E126" s="1" t="str">
        <f>IF(ISERROR(VLOOKUP(D126,Categorias!A:B,2,0)),"",VLOOKUP(D126,Categorias!A:B,2,0))</f>
        <v/>
      </c>
      <c r="F126" s="80"/>
      <c r="G126" s="5"/>
      <c r="H126" s="73">
        <f t="shared" si="1"/>
        <v>0</v>
      </c>
    </row>
    <row r="127" spans="4:8" ht="13.8">
      <c r="D127" s="1"/>
      <c r="E127" s="1" t="str">
        <f>IF(ISERROR(VLOOKUP(D127,Categorias!A:B,2,0)),"",VLOOKUP(D127,Categorias!A:B,2,0))</f>
        <v/>
      </c>
      <c r="F127" s="80"/>
      <c r="G127" s="5"/>
      <c r="H127" s="73">
        <f t="shared" si="1"/>
        <v>0</v>
      </c>
    </row>
    <row r="128" spans="4:8" ht="13.8">
      <c r="D128" s="1"/>
      <c r="E128" s="1" t="str">
        <f>IF(ISERROR(VLOOKUP(D128,Categorias!A:B,2,0)),"",VLOOKUP(D128,Categorias!A:B,2,0))</f>
        <v/>
      </c>
      <c r="F128" s="80"/>
      <c r="G128" s="5"/>
      <c r="H128" s="73">
        <f t="shared" si="1"/>
        <v>0</v>
      </c>
    </row>
    <row r="129" spans="4:8" ht="13.8">
      <c r="D129" s="1"/>
      <c r="E129" s="1" t="str">
        <f>IF(ISERROR(VLOOKUP(D129,Categorias!A:B,2,0)),"",VLOOKUP(D129,Categorias!A:B,2,0))</f>
        <v/>
      </c>
      <c r="F129" s="80"/>
      <c r="G129" s="5"/>
      <c r="H129" s="73">
        <f t="shared" si="1"/>
        <v>0</v>
      </c>
    </row>
    <row r="130" spans="4:8" ht="13.8">
      <c r="D130" s="1"/>
      <c r="E130" s="1" t="str">
        <f>IF(ISERROR(VLOOKUP(D130,Categorias!A:B,2,0)),"",VLOOKUP(D130,Categorias!A:B,2,0))</f>
        <v/>
      </c>
      <c r="F130" s="80"/>
      <c r="G130" s="5"/>
      <c r="H130" s="73">
        <f t="shared" si="1"/>
        <v>0</v>
      </c>
    </row>
    <row r="131" spans="4:8" ht="13.8">
      <c r="D131" s="1"/>
      <c r="E131" s="1" t="str">
        <f>IF(ISERROR(VLOOKUP(D131,Categorias!A:B,2,0)),"",VLOOKUP(D131,Categorias!A:B,2,0))</f>
        <v/>
      </c>
      <c r="F131" s="80"/>
      <c r="G131" s="5"/>
      <c r="H131" s="73">
        <f t="shared" si="1"/>
        <v>0</v>
      </c>
    </row>
    <row r="132" spans="4:8" ht="13.8">
      <c r="D132" s="1"/>
      <c r="E132" s="1" t="str">
        <f>IF(ISERROR(VLOOKUP(D132,Categorias!A:B,2,0)),"",VLOOKUP(D132,Categorias!A:B,2,0))</f>
        <v/>
      </c>
      <c r="F132" s="80"/>
      <c r="G132" s="5"/>
      <c r="H132" s="73">
        <f t="shared" si="1"/>
        <v>0</v>
      </c>
    </row>
    <row r="133" spans="4:8" ht="13.8">
      <c r="D133" s="1"/>
      <c r="E133" s="1" t="str">
        <f>IF(ISERROR(VLOOKUP(D133,Categorias!A:B,2,0)),"",VLOOKUP(D133,Categorias!A:B,2,0))</f>
        <v/>
      </c>
      <c r="F133" s="80"/>
      <c r="G133" s="5"/>
      <c r="H133" s="73">
        <f t="shared" si="1"/>
        <v>0</v>
      </c>
    </row>
    <row r="134" spans="4:8" ht="13.8">
      <c r="D134" s="1"/>
      <c r="E134" s="1" t="str">
        <f>IF(ISERROR(VLOOKUP(D134,Categorias!A:B,2,0)),"",VLOOKUP(D134,Categorias!A:B,2,0))</f>
        <v/>
      </c>
      <c r="F134" s="80"/>
      <c r="G134" s="5"/>
      <c r="H134" s="73">
        <f t="shared" si="1"/>
        <v>0</v>
      </c>
    </row>
    <row r="135" spans="4:8" ht="13.8">
      <c r="D135" s="1"/>
      <c r="E135" s="1" t="str">
        <f>IF(ISERROR(VLOOKUP(D135,Categorias!A:B,2,0)),"",VLOOKUP(D135,Categorias!A:B,2,0))</f>
        <v/>
      </c>
      <c r="F135" s="80"/>
      <c r="G135" s="5"/>
      <c r="H135" s="73">
        <f t="shared" si="1"/>
        <v>0</v>
      </c>
    </row>
    <row r="136" spans="4:8" ht="13.8">
      <c r="D136" s="1"/>
      <c r="E136" s="1" t="str">
        <f>IF(ISERROR(VLOOKUP(D136,Categorias!A:B,2,0)),"",VLOOKUP(D136,Categorias!A:B,2,0))</f>
        <v/>
      </c>
      <c r="F136" s="80"/>
      <c r="G136" s="5"/>
      <c r="H136" s="73">
        <f t="shared" si="1"/>
        <v>0</v>
      </c>
    </row>
    <row r="137" spans="4:8" ht="13.8">
      <c r="D137" s="1"/>
      <c r="E137" s="1" t="str">
        <f>IF(ISERROR(VLOOKUP(D137,Categorias!A:B,2,0)),"",VLOOKUP(D137,Categorias!A:B,2,0))</f>
        <v/>
      </c>
      <c r="F137" s="80"/>
      <c r="G137" s="5"/>
      <c r="H137" s="73">
        <f t="shared" si="1"/>
        <v>0</v>
      </c>
    </row>
    <row r="138" spans="4:8" ht="13.8">
      <c r="D138" s="1"/>
      <c r="E138" s="1" t="str">
        <f>IF(ISERROR(VLOOKUP(D138,Categorias!A:B,2,0)),"",VLOOKUP(D138,Categorias!A:B,2,0))</f>
        <v/>
      </c>
      <c r="F138" s="80"/>
      <c r="G138" s="5"/>
      <c r="H138" s="73">
        <f t="shared" si="1"/>
        <v>0</v>
      </c>
    </row>
    <row r="139" spans="4:8" ht="13.8">
      <c r="D139" s="1"/>
      <c r="E139" s="1" t="str">
        <f>IF(ISERROR(VLOOKUP(D139,Categorias!A:B,2,0)),"",VLOOKUP(D139,Categorias!A:B,2,0))</f>
        <v/>
      </c>
      <c r="F139" s="80"/>
      <c r="G139" s="5"/>
      <c r="H139" s="73">
        <f t="shared" si="1"/>
        <v>0</v>
      </c>
    </row>
    <row r="140" spans="4:8" ht="13.8">
      <c r="D140" s="1"/>
      <c r="E140" s="1" t="str">
        <f>IF(ISERROR(VLOOKUP(D140,Categorias!A:B,2,0)),"",VLOOKUP(D140,Categorias!A:B,2,0))</f>
        <v/>
      </c>
      <c r="F140" s="80"/>
      <c r="G140" s="5"/>
      <c r="H140" s="73">
        <f t="shared" si="1"/>
        <v>0</v>
      </c>
    </row>
    <row r="141" spans="4:8" ht="13.8">
      <c r="D141" s="1"/>
      <c r="E141" s="1" t="str">
        <f>IF(ISERROR(VLOOKUP(D141,Categorias!A:B,2,0)),"",VLOOKUP(D141,Categorias!A:B,2,0))</f>
        <v/>
      </c>
      <c r="F141" s="80"/>
      <c r="G141" s="5"/>
      <c r="H141" s="73">
        <f t="shared" si="1"/>
        <v>0</v>
      </c>
    </row>
    <row r="142" spans="4:8" ht="13.8">
      <c r="D142" s="1"/>
      <c r="E142" s="1" t="str">
        <f>IF(ISERROR(VLOOKUP(D142,Categorias!A:B,2,0)),"",VLOOKUP(D142,Categorias!A:B,2,0))</f>
        <v/>
      </c>
      <c r="F142" s="80"/>
      <c r="G142" s="5"/>
      <c r="H142" s="73">
        <f t="shared" ref="H142:H205" si="2">H141+F142-G142</f>
        <v>0</v>
      </c>
    </row>
    <row r="143" spans="4:8" ht="13.8">
      <c r="D143" s="1"/>
      <c r="E143" s="1" t="str">
        <f>IF(ISERROR(VLOOKUP(D143,Categorias!A:B,2,0)),"",VLOOKUP(D143,Categorias!A:B,2,0))</f>
        <v/>
      </c>
      <c r="F143" s="80"/>
      <c r="G143" s="5"/>
      <c r="H143" s="73">
        <f t="shared" si="2"/>
        <v>0</v>
      </c>
    </row>
    <row r="144" spans="4:8" ht="13.8">
      <c r="D144" s="1"/>
      <c r="E144" s="1" t="str">
        <f>IF(ISERROR(VLOOKUP(D144,Categorias!A:B,2,0)),"",VLOOKUP(D144,Categorias!A:B,2,0))</f>
        <v/>
      </c>
      <c r="F144" s="80"/>
      <c r="G144" s="5"/>
      <c r="H144" s="73">
        <f t="shared" si="2"/>
        <v>0</v>
      </c>
    </row>
    <row r="145" spans="4:8" ht="13.8">
      <c r="D145" s="1"/>
      <c r="E145" s="1" t="str">
        <f>IF(ISERROR(VLOOKUP(D145,Categorias!A:B,2,0)),"",VLOOKUP(D145,Categorias!A:B,2,0))</f>
        <v/>
      </c>
      <c r="F145" s="80"/>
      <c r="G145" s="5"/>
      <c r="H145" s="73">
        <f t="shared" si="2"/>
        <v>0</v>
      </c>
    </row>
    <row r="146" spans="4:8" ht="13.8">
      <c r="D146" s="1"/>
      <c r="E146" s="1" t="str">
        <f>IF(ISERROR(VLOOKUP(D146,Categorias!A:B,2,0)),"",VLOOKUP(D146,Categorias!A:B,2,0))</f>
        <v/>
      </c>
      <c r="F146" s="80"/>
      <c r="G146" s="5"/>
      <c r="H146" s="73">
        <f t="shared" si="2"/>
        <v>0</v>
      </c>
    </row>
    <row r="147" spans="4:8" ht="13.8">
      <c r="D147" s="1"/>
      <c r="E147" s="1" t="str">
        <f>IF(ISERROR(VLOOKUP(D147,Categorias!A:B,2,0)),"",VLOOKUP(D147,Categorias!A:B,2,0))</f>
        <v/>
      </c>
      <c r="F147" s="80"/>
      <c r="G147" s="5"/>
      <c r="H147" s="73">
        <f t="shared" si="2"/>
        <v>0</v>
      </c>
    </row>
    <row r="148" spans="4:8" ht="13.8">
      <c r="D148" s="1"/>
      <c r="E148" s="1" t="str">
        <f>IF(ISERROR(VLOOKUP(D148,Categorias!A:B,2,0)),"",VLOOKUP(D148,Categorias!A:B,2,0))</f>
        <v/>
      </c>
      <c r="F148" s="80"/>
      <c r="G148" s="5"/>
      <c r="H148" s="73">
        <f t="shared" si="2"/>
        <v>0</v>
      </c>
    </row>
    <row r="149" spans="4:8" ht="13.8">
      <c r="D149" s="1"/>
      <c r="E149" s="1" t="str">
        <f>IF(ISERROR(VLOOKUP(D149,Categorias!A:B,2,0)),"",VLOOKUP(D149,Categorias!A:B,2,0))</f>
        <v/>
      </c>
      <c r="F149" s="80"/>
      <c r="G149" s="5"/>
      <c r="H149" s="73">
        <f t="shared" si="2"/>
        <v>0</v>
      </c>
    </row>
    <row r="150" spans="4:8" ht="13.8">
      <c r="D150" s="1"/>
      <c r="E150" s="1" t="str">
        <f>IF(ISERROR(VLOOKUP(D150,Categorias!A:B,2,0)),"",VLOOKUP(D150,Categorias!A:B,2,0))</f>
        <v/>
      </c>
      <c r="F150" s="80"/>
      <c r="G150" s="5"/>
      <c r="H150" s="73">
        <f t="shared" si="2"/>
        <v>0</v>
      </c>
    </row>
    <row r="151" spans="4:8" ht="13.8">
      <c r="D151" s="1"/>
      <c r="E151" s="1" t="str">
        <f>IF(ISERROR(VLOOKUP(D151,Categorias!A:B,2,0)),"",VLOOKUP(D151,Categorias!A:B,2,0))</f>
        <v/>
      </c>
      <c r="F151" s="80"/>
      <c r="G151" s="5"/>
      <c r="H151" s="73">
        <f t="shared" si="2"/>
        <v>0</v>
      </c>
    </row>
    <row r="152" spans="4:8" ht="13.8">
      <c r="D152" s="1"/>
      <c r="E152" s="1" t="str">
        <f>IF(ISERROR(VLOOKUP(D152,Categorias!A:B,2,0)),"",VLOOKUP(D152,Categorias!A:B,2,0))</f>
        <v/>
      </c>
      <c r="F152" s="80"/>
      <c r="G152" s="5"/>
      <c r="H152" s="73">
        <f t="shared" si="2"/>
        <v>0</v>
      </c>
    </row>
    <row r="153" spans="4:8" ht="13.8">
      <c r="D153" s="1"/>
      <c r="E153" s="1" t="str">
        <f>IF(ISERROR(VLOOKUP(D153,Categorias!A:B,2,0)),"",VLOOKUP(D153,Categorias!A:B,2,0))</f>
        <v/>
      </c>
      <c r="F153" s="80"/>
      <c r="G153" s="5"/>
      <c r="H153" s="73">
        <f t="shared" si="2"/>
        <v>0</v>
      </c>
    </row>
    <row r="154" spans="4:8" ht="13.8">
      <c r="D154" s="1"/>
      <c r="E154" s="1" t="str">
        <f>IF(ISERROR(VLOOKUP(D154,Categorias!A:B,2,0)),"",VLOOKUP(D154,Categorias!A:B,2,0))</f>
        <v/>
      </c>
      <c r="F154" s="80"/>
      <c r="G154" s="5"/>
      <c r="H154" s="73">
        <f t="shared" si="2"/>
        <v>0</v>
      </c>
    </row>
    <row r="155" spans="4:8" ht="13.8">
      <c r="D155" s="1"/>
      <c r="E155" s="1" t="str">
        <f>IF(ISERROR(VLOOKUP(D155,Categorias!A:B,2,0)),"",VLOOKUP(D155,Categorias!A:B,2,0))</f>
        <v/>
      </c>
      <c r="F155" s="80"/>
      <c r="G155" s="5"/>
      <c r="H155" s="73">
        <f t="shared" si="2"/>
        <v>0</v>
      </c>
    </row>
    <row r="156" spans="4:8" ht="13.8">
      <c r="D156" s="1"/>
      <c r="E156" s="1" t="str">
        <f>IF(ISERROR(VLOOKUP(D156,Categorias!A:B,2,0)),"",VLOOKUP(D156,Categorias!A:B,2,0))</f>
        <v/>
      </c>
      <c r="F156" s="80"/>
      <c r="G156" s="5"/>
      <c r="H156" s="73">
        <f t="shared" si="2"/>
        <v>0</v>
      </c>
    </row>
    <row r="157" spans="4:8" ht="13.8">
      <c r="D157" s="1"/>
      <c r="E157" s="1" t="str">
        <f>IF(ISERROR(VLOOKUP(D157,Categorias!A:B,2,0)),"",VLOOKUP(D157,Categorias!A:B,2,0))</f>
        <v/>
      </c>
      <c r="F157" s="80"/>
      <c r="G157" s="5"/>
      <c r="H157" s="73">
        <f t="shared" si="2"/>
        <v>0</v>
      </c>
    </row>
    <row r="158" spans="4:8" ht="13.8">
      <c r="D158" s="1"/>
      <c r="E158" s="1" t="str">
        <f>IF(ISERROR(VLOOKUP(D158,Categorias!A:B,2,0)),"",VLOOKUP(D158,Categorias!A:B,2,0))</f>
        <v/>
      </c>
      <c r="F158" s="80"/>
      <c r="G158" s="5"/>
      <c r="H158" s="73">
        <f t="shared" si="2"/>
        <v>0</v>
      </c>
    </row>
    <row r="159" spans="4:8" ht="13.8">
      <c r="D159" s="1"/>
      <c r="E159" s="1" t="str">
        <f>IF(ISERROR(VLOOKUP(D159,Categorias!A:B,2,0)),"",VLOOKUP(D159,Categorias!A:B,2,0))</f>
        <v/>
      </c>
      <c r="F159" s="80"/>
      <c r="G159" s="5"/>
      <c r="H159" s="73">
        <f t="shared" si="2"/>
        <v>0</v>
      </c>
    </row>
    <row r="160" spans="4:8" ht="13.8">
      <c r="D160" s="1"/>
      <c r="E160" s="1" t="str">
        <f>IF(ISERROR(VLOOKUP(D160,Categorias!A:B,2,0)),"",VLOOKUP(D160,Categorias!A:B,2,0))</f>
        <v/>
      </c>
      <c r="F160" s="80"/>
      <c r="G160" s="5"/>
      <c r="H160" s="73">
        <f t="shared" si="2"/>
        <v>0</v>
      </c>
    </row>
    <row r="161" spans="4:8" ht="13.8">
      <c r="D161" s="1"/>
      <c r="E161" s="1" t="str">
        <f>IF(ISERROR(VLOOKUP(D161,Categorias!A:B,2,0)),"",VLOOKUP(D161,Categorias!A:B,2,0))</f>
        <v/>
      </c>
      <c r="F161" s="80"/>
      <c r="G161" s="5"/>
      <c r="H161" s="73">
        <f t="shared" si="2"/>
        <v>0</v>
      </c>
    </row>
    <row r="162" spans="4:8" ht="13.8">
      <c r="D162" s="1"/>
      <c r="E162" s="1" t="str">
        <f>IF(ISERROR(VLOOKUP(D162,Categorias!A:B,2,0)),"",VLOOKUP(D162,Categorias!A:B,2,0))</f>
        <v/>
      </c>
      <c r="F162" s="80"/>
      <c r="G162" s="5"/>
      <c r="H162" s="73">
        <f t="shared" si="2"/>
        <v>0</v>
      </c>
    </row>
    <row r="163" spans="4:8" ht="13.8">
      <c r="D163" s="1"/>
      <c r="E163" s="1" t="str">
        <f>IF(ISERROR(VLOOKUP(D163,Categorias!A:B,2,0)),"",VLOOKUP(D163,Categorias!A:B,2,0))</f>
        <v/>
      </c>
      <c r="F163" s="80"/>
      <c r="G163" s="5"/>
      <c r="H163" s="73">
        <f t="shared" si="2"/>
        <v>0</v>
      </c>
    </row>
    <row r="164" spans="4:8" ht="13.8">
      <c r="D164" s="1"/>
      <c r="E164" s="1" t="str">
        <f>IF(ISERROR(VLOOKUP(D164,Categorias!A:B,2,0)),"",VLOOKUP(D164,Categorias!A:B,2,0))</f>
        <v/>
      </c>
      <c r="F164" s="80"/>
      <c r="G164" s="5"/>
      <c r="H164" s="73">
        <f t="shared" si="2"/>
        <v>0</v>
      </c>
    </row>
    <row r="165" spans="4:8" ht="13.8">
      <c r="D165" s="1"/>
      <c r="E165" s="1" t="str">
        <f>IF(ISERROR(VLOOKUP(D165,Categorias!A:B,2,0)),"",VLOOKUP(D165,Categorias!A:B,2,0))</f>
        <v/>
      </c>
      <c r="F165" s="80"/>
      <c r="G165" s="5"/>
      <c r="H165" s="73">
        <f t="shared" si="2"/>
        <v>0</v>
      </c>
    </row>
    <row r="166" spans="4:8" ht="13.8">
      <c r="D166" s="1"/>
      <c r="E166" s="1" t="str">
        <f>IF(ISERROR(VLOOKUP(D166,Categorias!A:B,2,0)),"",VLOOKUP(D166,Categorias!A:B,2,0))</f>
        <v/>
      </c>
      <c r="F166" s="80"/>
      <c r="G166" s="5"/>
      <c r="H166" s="73">
        <f t="shared" si="2"/>
        <v>0</v>
      </c>
    </row>
    <row r="167" spans="4:8" ht="13.8">
      <c r="D167" s="1"/>
      <c r="E167" s="1" t="str">
        <f>IF(ISERROR(VLOOKUP(D167,Categorias!A:B,2,0)),"",VLOOKUP(D167,Categorias!A:B,2,0))</f>
        <v/>
      </c>
      <c r="F167" s="80"/>
      <c r="G167" s="5"/>
      <c r="H167" s="73">
        <f t="shared" si="2"/>
        <v>0</v>
      </c>
    </row>
    <row r="168" spans="4:8" ht="13.8">
      <c r="D168" s="1"/>
      <c r="E168" s="1" t="str">
        <f>IF(ISERROR(VLOOKUP(D168,Categorias!A:B,2,0)),"",VLOOKUP(D168,Categorias!A:B,2,0))</f>
        <v/>
      </c>
      <c r="F168" s="80"/>
      <c r="G168" s="5"/>
      <c r="H168" s="73">
        <f t="shared" si="2"/>
        <v>0</v>
      </c>
    </row>
    <row r="169" spans="4:8" ht="13.8">
      <c r="D169" s="1"/>
      <c r="E169" s="1" t="str">
        <f>IF(ISERROR(VLOOKUP(D169,Categorias!A:B,2,0)),"",VLOOKUP(D169,Categorias!A:B,2,0))</f>
        <v/>
      </c>
      <c r="F169" s="80"/>
      <c r="G169" s="5"/>
      <c r="H169" s="73">
        <f t="shared" si="2"/>
        <v>0</v>
      </c>
    </row>
    <row r="170" spans="4:8" ht="13.8">
      <c r="D170" s="1"/>
      <c r="E170" s="1" t="str">
        <f>IF(ISERROR(VLOOKUP(D170,Categorias!A:B,2,0)),"",VLOOKUP(D170,Categorias!A:B,2,0))</f>
        <v/>
      </c>
      <c r="F170" s="80"/>
      <c r="G170" s="5"/>
      <c r="H170" s="73">
        <f t="shared" si="2"/>
        <v>0</v>
      </c>
    </row>
    <row r="171" spans="4:8" ht="13.8">
      <c r="D171" s="1"/>
      <c r="E171" s="1" t="str">
        <f>IF(ISERROR(VLOOKUP(D171,Categorias!A:B,2,0)),"",VLOOKUP(D171,Categorias!A:B,2,0))</f>
        <v/>
      </c>
      <c r="F171" s="80"/>
      <c r="G171" s="5"/>
      <c r="H171" s="73">
        <f t="shared" si="2"/>
        <v>0</v>
      </c>
    </row>
    <row r="172" spans="4:8" ht="13.8">
      <c r="D172" s="1"/>
      <c r="E172" s="1" t="str">
        <f>IF(ISERROR(VLOOKUP(D172,Categorias!A:B,2,0)),"",VLOOKUP(D172,Categorias!A:B,2,0))</f>
        <v/>
      </c>
      <c r="F172" s="80"/>
      <c r="G172" s="5"/>
      <c r="H172" s="73">
        <f t="shared" si="2"/>
        <v>0</v>
      </c>
    </row>
    <row r="173" spans="4:8" ht="13.8">
      <c r="D173" s="1"/>
      <c r="E173" s="1" t="str">
        <f>IF(ISERROR(VLOOKUP(D173,Categorias!A:B,2,0)),"",VLOOKUP(D173,Categorias!A:B,2,0))</f>
        <v/>
      </c>
      <c r="F173" s="80"/>
      <c r="G173" s="5"/>
      <c r="H173" s="73">
        <f t="shared" si="2"/>
        <v>0</v>
      </c>
    </row>
    <row r="174" spans="4:8" ht="13.8">
      <c r="D174" s="1"/>
      <c r="E174" s="1" t="str">
        <f>IF(ISERROR(VLOOKUP(D174,Categorias!A:B,2,0)),"",VLOOKUP(D174,Categorias!A:B,2,0))</f>
        <v/>
      </c>
      <c r="F174" s="80"/>
      <c r="G174" s="5"/>
      <c r="H174" s="73">
        <f t="shared" si="2"/>
        <v>0</v>
      </c>
    </row>
    <row r="175" spans="4:8" ht="13.8">
      <c r="D175" s="1"/>
      <c r="E175" s="1" t="str">
        <f>IF(ISERROR(VLOOKUP(D175,Categorias!A:B,2,0)),"",VLOOKUP(D175,Categorias!A:B,2,0))</f>
        <v/>
      </c>
      <c r="F175" s="80"/>
      <c r="G175" s="5"/>
      <c r="H175" s="73">
        <f t="shared" si="2"/>
        <v>0</v>
      </c>
    </row>
    <row r="176" spans="4:8" ht="13.8">
      <c r="D176" s="1"/>
      <c r="E176" s="1" t="str">
        <f>IF(ISERROR(VLOOKUP(D176,Categorias!A:B,2,0)),"",VLOOKUP(D176,Categorias!A:B,2,0))</f>
        <v/>
      </c>
      <c r="F176" s="80"/>
      <c r="G176" s="5"/>
      <c r="H176" s="73">
        <f t="shared" si="2"/>
        <v>0</v>
      </c>
    </row>
    <row r="177" spans="4:8" ht="13.8">
      <c r="D177" s="1"/>
      <c r="E177" s="1" t="str">
        <f>IF(ISERROR(VLOOKUP(D177,Categorias!A:B,2,0)),"",VLOOKUP(D177,Categorias!A:B,2,0))</f>
        <v/>
      </c>
      <c r="F177" s="80"/>
      <c r="G177" s="5"/>
      <c r="H177" s="73">
        <f t="shared" si="2"/>
        <v>0</v>
      </c>
    </row>
    <row r="178" spans="4:8" ht="13.8">
      <c r="D178" s="1"/>
      <c r="E178" s="1" t="str">
        <f>IF(ISERROR(VLOOKUP(D178,Categorias!A:B,2,0)),"",VLOOKUP(D178,Categorias!A:B,2,0))</f>
        <v/>
      </c>
      <c r="F178" s="80"/>
      <c r="G178" s="5"/>
      <c r="H178" s="73">
        <f t="shared" si="2"/>
        <v>0</v>
      </c>
    </row>
    <row r="179" spans="4:8" ht="13.8">
      <c r="D179" s="1"/>
      <c r="E179" s="1" t="str">
        <f>IF(ISERROR(VLOOKUP(D179,Categorias!A:B,2,0)),"",VLOOKUP(D179,Categorias!A:B,2,0))</f>
        <v/>
      </c>
      <c r="F179" s="80"/>
      <c r="G179" s="5"/>
      <c r="H179" s="73">
        <f t="shared" si="2"/>
        <v>0</v>
      </c>
    </row>
    <row r="180" spans="4:8" ht="13.8">
      <c r="D180" s="1"/>
      <c r="E180" s="1" t="str">
        <f>IF(ISERROR(VLOOKUP(D180,Categorias!A:B,2,0)),"",VLOOKUP(D180,Categorias!A:B,2,0))</f>
        <v/>
      </c>
      <c r="F180" s="80"/>
      <c r="G180" s="5"/>
      <c r="H180" s="73">
        <f t="shared" si="2"/>
        <v>0</v>
      </c>
    </row>
    <row r="181" spans="4:8" ht="13.8">
      <c r="D181" s="1"/>
      <c r="E181" s="1" t="str">
        <f>IF(ISERROR(VLOOKUP(D181,Categorias!A:B,2,0)),"",VLOOKUP(D181,Categorias!A:B,2,0))</f>
        <v/>
      </c>
      <c r="F181" s="80"/>
      <c r="G181" s="5"/>
      <c r="H181" s="73">
        <f t="shared" si="2"/>
        <v>0</v>
      </c>
    </row>
    <row r="182" spans="4:8" ht="13.8">
      <c r="D182" s="1"/>
      <c r="E182" s="1" t="str">
        <f>IF(ISERROR(VLOOKUP(D182,Categorias!A:B,2,0)),"",VLOOKUP(D182,Categorias!A:B,2,0))</f>
        <v/>
      </c>
      <c r="F182" s="80"/>
      <c r="G182" s="5"/>
      <c r="H182" s="73">
        <f t="shared" si="2"/>
        <v>0</v>
      </c>
    </row>
    <row r="183" spans="4:8" ht="13.8">
      <c r="D183" s="1"/>
      <c r="E183" s="1" t="str">
        <f>IF(ISERROR(VLOOKUP(D183,Categorias!A:B,2,0)),"",VLOOKUP(D183,Categorias!A:B,2,0))</f>
        <v/>
      </c>
      <c r="F183" s="80"/>
      <c r="G183" s="5"/>
      <c r="H183" s="73">
        <f t="shared" si="2"/>
        <v>0</v>
      </c>
    </row>
    <row r="184" spans="4:8" ht="13.8">
      <c r="D184" s="1"/>
      <c r="E184" s="1" t="str">
        <f>IF(ISERROR(VLOOKUP(D184,Categorias!A:B,2,0)),"",VLOOKUP(D184,Categorias!A:B,2,0))</f>
        <v/>
      </c>
      <c r="F184" s="80"/>
      <c r="G184" s="5"/>
      <c r="H184" s="73">
        <f t="shared" si="2"/>
        <v>0</v>
      </c>
    </row>
    <row r="185" spans="4:8" ht="13.8">
      <c r="D185" s="1"/>
      <c r="E185" s="1" t="str">
        <f>IF(ISERROR(VLOOKUP(D185,Categorias!A:B,2,0)),"",VLOOKUP(D185,Categorias!A:B,2,0))</f>
        <v/>
      </c>
      <c r="F185" s="80"/>
      <c r="G185" s="5"/>
      <c r="H185" s="73">
        <f t="shared" si="2"/>
        <v>0</v>
      </c>
    </row>
    <row r="186" spans="4:8" ht="13.8">
      <c r="D186" s="1"/>
      <c r="E186" s="1" t="str">
        <f>IF(ISERROR(VLOOKUP(D186,Categorias!A:B,2,0)),"",VLOOKUP(D186,Categorias!A:B,2,0))</f>
        <v/>
      </c>
      <c r="F186" s="80"/>
      <c r="G186" s="5"/>
      <c r="H186" s="73">
        <f t="shared" si="2"/>
        <v>0</v>
      </c>
    </row>
    <row r="187" spans="4:8" ht="13.8">
      <c r="D187" s="1"/>
      <c r="E187" s="1" t="str">
        <f>IF(ISERROR(VLOOKUP(D187,Categorias!A:B,2,0)),"",VLOOKUP(D187,Categorias!A:B,2,0))</f>
        <v/>
      </c>
      <c r="F187" s="80"/>
      <c r="G187" s="5"/>
      <c r="H187" s="73">
        <f t="shared" si="2"/>
        <v>0</v>
      </c>
    </row>
    <row r="188" spans="4:8" ht="13.8">
      <c r="D188" s="1"/>
      <c r="E188" s="1" t="str">
        <f>IF(ISERROR(VLOOKUP(D188,Categorias!A:B,2,0)),"",VLOOKUP(D188,Categorias!A:B,2,0))</f>
        <v/>
      </c>
      <c r="F188" s="80"/>
      <c r="G188" s="5"/>
      <c r="H188" s="73">
        <f t="shared" si="2"/>
        <v>0</v>
      </c>
    </row>
    <row r="189" spans="4:8" ht="13.8">
      <c r="D189" s="1"/>
      <c r="E189" s="1" t="str">
        <f>IF(ISERROR(VLOOKUP(D189,Categorias!A:B,2,0)),"",VLOOKUP(D189,Categorias!A:B,2,0))</f>
        <v/>
      </c>
      <c r="F189" s="80"/>
      <c r="G189" s="5"/>
      <c r="H189" s="73">
        <f t="shared" si="2"/>
        <v>0</v>
      </c>
    </row>
    <row r="190" spans="4:8" ht="13.8">
      <c r="D190" s="1"/>
      <c r="E190" s="1" t="str">
        <f>IF(ISERROR(VLOOKUP(D190,Categorias!A:B,2,0)),"",VLOOKUP(D190,Categorias!A:B,2,0))</f>
        <v/>
      </c>
      <c r="F190" s="80"/>
      <c r="G190" s="5"/>
      <c r="H190" s="73">
        <f t="shared" si="2"/>
        <v>0</v>
      </c>
    </row>
    <row r="191" spans="4:8" ht="13.8">
      <c r="D191" s="1"/>
      <c r="E191" s="1" t="str">
        <f>IF(ISERROR(VLOOKUP(D191,Categorias!A:B,2,0)),"",VLOOKUP(D191,Categorias!A:B,2,0))</f>
        <v/>
      </c>
      <c r="F191" s="80"/>
      <c r="G191" s="5"/>
      <c r="H191" s="73">
        <f t="shared" si="2"/>
        <v>0</v>
      </c>
    </row>
    <row r="192" spans="4:8" ht="13.8">
      <c r="D192" s="1"/>
      <c r="E192" s="1" t="str">
        <f>IF(ISERROR(VLOOKUP(D192,Categorias!A:B,2,0)),"",VLOOKUP(D192,Categorias!A:B,2,0))</f>
        <v/>
      </c>
      <c r="F192" s="80"/>
      <c r="G192" s="5"/>
      <c r="H192" s="73">
        <f t="shared" si="2"/>
        <v>0</v>
      </c>
    </row>
    <row r="193" spans="4:8" ht="13.8">
      <c r="D193" s="1"/>
      <c r="E193" s="1" t="str">
        <f>IF(ISERROR(VLOOKUP(D193,Categorias!A:B,2,0)),"",VLOOKUP(D193,Categorias!A:B,2,0))</f>
        <v/>
      </c>
      <c r="F193" s="80"/>
      <c r="G193" s="5"/>
      <c r="H193" s="73">
        <f t="shared" si="2"/>
        <v>0</v>
      </c>
    </row>
    <row r="194" spans="4:8" ht="13.8">
      <c r="D194" s="1"/>
      <c r="E194" s="1" t="str">
        <f>IF(ISERROR(VLOOKUP(D194,Categorias!A:B,2,0)),"",VLOOKUP(D194,Categorias!A:B,2,0))</f>
        <v/>
      </c>
      <c r="F194" s="80"/>
      <c r="G194" s="5"/>
      <c r="H194" s="73">
        <f t="shared" si="2"/>
        <v>0</v>
      </c>
    </row>
    <row r="195" spans="4:8" ht="13.8">
      <c r="D195" s="1"/>
      <c r="E195" s="1" t="str">
        <f>IF(ISERROR(VLOOKUP(D195,Categorias!A:B,2,0)),"",VLOOKUP(D195,Categorias!A:B,2,0))</f>
        <v/>
      </c>
      <c r="F195" s="80"/>
      <c r="G195" s="5"/>
      <c r="H195" s="73">
        <f t="shared" si="2"/>
        <v>0</v>
      </c>
    </row>
    <row r="196" spans="4:8" ht="13.8">
      <c r="D196" s="1"/>
      <c r="E196" s="1" t="str">
        <f>IF(ISERROR(VLOOKUP(D196,Categorias!A:B,2,0)),"",VLOOKUP(D196,Categorias!A:B,2,0))</f>
        <v/>
      </c>
      <c r="F196" s="80"/>
      <c r="G196" s="5"/>
      <c r="H196" s="73">
        <f t="shared" si="2"/>
        <v>0</v>
      </c>
    </row>
    <row r="197" spans="4:8" ht="13.8">
      <c r="D197" s="1"/>
      <c r="E197" s="1" t="str">
        <f>IF(ISERROR(VLOOKUP(D197,Categorias!A:B,2,0)),"",VLOOKUP(D197,Categorias!A:B,2,0))</f>
        <v/>
      </c>
      <c r="F197" s="80"/>
      <c r="G197" s="5"/>
      <c r="H197" s="73">
        <f t="shared" si="2"/>
        <v>0</v>
      </c>
    </row>
    <row r="198" spans="4:8" ht="13.8">
      <c r="D198" s="1"/>
      <c r="E198" s="1" t="str">
        <f>IF(ISERROR(VLOOKUP(D198,Categorias!A:B,2,0)),"",VLOOKUP(D198,Categorias!A:B,2,0))</f>
        <v/>
      </c>
      <c r="F198" s="80"/>
      <c r="G198" s="5"/>
      <c r="H198" s="73">
        <f t="shared" si="2"/>
        <v>0</v>
      </c>
    </row>
    <row r="199" spans="4:8" ht="13.8">
      <c r="D199" s="1"/>
      <c r="E199" s="1" t="str">
        <f>IF(ISERROR(VLOOKUP(D199,Categorias!A:B,2,0)),"",VLOOKUP(D199,Categorias!A:B,2,0))</f>
        <v/>
      </c>
      <c r="F199" s="80"/>
      <c r="G199" s="5"/>
      <c r="H199" s="73">
        <f t="shared" si="2"/>
        <v>0</v>
      </c>
    </row>
    <row r="200" spans="4:8" ht="13.8">
      <c r="D200" s="1"/>
      <c r="E200" s="1" t="str">
        <f>IF(ISERROR(VLOOKUP(D200,Categorias!A:B,2,0)),"",VLOOKUP(D200,Categorias!A:B,2,0))</f>
        <v/>
      </c>
      <c r="F200" s="80"/>
      <c r="G200" s="5"/>
      <c r="H200" s="73">
        <f t="shared" si="2"/>
        <v>0</v>
      </c>
    </row>
    <row r="201" spans="4:8" ht="13.8">
      <c r="D201" s="1"/>
      <c r="E201" s="1" t="str">
        <f>IF(ISERROR(VLOOKUP(D201,Categorias!A:B,2,0)),"",VLOOKUP(D201,Categorias!A:B,2,0))</f>
        <v/>
      </c>
      <c r="F201" s="80"/>
      <c r="G201" s="5"/>
      <c r="H201" s="73">
        <f t="shared" si="2"/>
        <v>0</v>
      </c>
    </row>
    <row r="202" spans="4:8" ht="13.8">
      <c r="D202" s="1"/>
      <c r="E202" s="1" t="str">
        <f>IF(ISERROR(VLOOKUP(D202,Categorias!A:B,2,0)),"",VLOOKUP(D202,Categorias!A:B,2,0))</f>
        <v/>
      </c>
      <c r="F202" s="80"/>
      <c r="G202" s="5"/>
      <c r="H202" s="73">
        <f t="shared" si="2"/>
        <v>0</v>
      </c>
    </row>
    <row r="203" spans="4:8" ht="13.8">
      <c r="D203" s="1"/>
      <c r="E203" s="1" t="str">
        <f>IF(ISERROR(VLOOKUP(D203,Categorias!A:B,2,0)),"",VLOOKUP(D203,Categorias!A:B,2,0))</f>
        <v/>
      </c>
      <c r="F203" s="80"/>
      <c r="G203" s="5"/>
      <c r="H203" s="73">
        <f t="shared" si="2"/>
        <v>0</v>
      </c>
    </row>
    <row r="204" spans="4:8" ht="13.8">
      <c r="D204" s="1"/>
      <c r="E204" s="1" t="str">
        <f>IF(ISERROR(VLOOKUP(D204,Categorias!A:B,2,0)),"",VLOOKUP(D204,Categorias!A:B,2,0))</f>
        <v/>
      </c>
      <c r="F204" s="80"/>
      <c r="G204" s="5"/>
      <c r="H204" s="73">
        <f t="shared" si="2"/>
        <v>0</v>
      </c>
    </row>
    <row r="205" spans="4:8" ht="13.8">
      <c r="D205" s="1"/>
      <c r="E205" s="1" t="str">
        <f>IF(ISERROR(VLOOKUP(D205,Categorias!A:B,2,0)),"",VLOOKUP(D205,Categorias!A:B,2,0))</f>
        <v/>
      </c>
      <c r="F205" s="80"/>
      <c r="G205" s="5"/>
      <c r="H205" s="73">
        <f t="shared" si="2"/>
        <v>0</v>
      </c>
    </row>
    <row r="206" spans="4:8" ht="13.8">
      <c r="D206" s="1"/>
      <c r="E206" s="1" t="str">
        <f>IF(ISERROR(VLOOKUP(D206,Categorias!A:B,2,0)),"",VLOOKUP(D206,Categorias!A:B,2,0))</f>
        <v/>
      </c>
      <c r="F206" s="80"/>
      <c r="G206" s="5"/>
      <c r="H206" s="73">
        <f t="shared" ref="H206:H254" si="3">H205+F206-G206</f>
        <v>0</v>
      </c>
    </row>
    <row r="207" spans="4:8" ht="13.8">
      <c r="D207" s="1"/>
      <c r="E207" s="1" t="str">
        <f>IF(ISERROR(VLOOKUP(D207,Categorias!A:B,2,0)),"",VLOOKUP(D207,Categorias!A:B,2,0))</f>
        <v/>
      </c>
      <c r="F207" s="80"/>
      <c r="G207" s="5"/>
      <c r="H207" s="73">
        <f t="shared" si="3"/>
        <v>0</v>
      </c>
    </row>
    <row r="208" spans="4:8" ht="13.8">
      <c r="D208" s="1"/>
      <c r="E208" s="1" t="str">
        <f>IF(ISERROR(VLOOKUP(D208,Categorias!A:B,2,0)),"",VLOOKUP(D208,Categorias!A:B,2,0))</f>
        <v/>
      </c>
      <c r="F208" s="80"/>
      <c r="G208" s="5"/>
      <c r="H208" s="73">
        <f t="shared" si="3"/>
        <v>0</v>
      </c>
    </row>
    <row r="209" spans="4:8" ht="13.8">
      <c r="D209" s="1"/>
      <c r="E209" s="1" t="str">
        <f>IF(ISERROR(VLOOKUP(D209,Categorias!A:B,2,0)),"",VLOOKUP(D209,Categorias!A:B,2,0))</f>
        <v/>
      </c>
      <c r="F209" s="80"/>
      <c r="G209" s="5"/>
      <c r="H209" s="73">
        <f t="shared" si="3"/>
        <v>0</v>
      </c>
    </row>
    <row r="210" spans="4:8" ht="13.8">
      <c r="D210" s="1"/>
      <c r="E210" s="1" t="str">
        <f>IF(ISERROR(VLOOKUP(D210,Categorias!A:B,2,0)),"",VLOOKUP(D210,Categorias!A:B,2,0))</f>
        <v/>
      </c>
      <c r="F210" s="80"/>
      <c r="G210" s="5"/>
      <c r="H210" s="73">
        <f t="shared" si="3"/>
        <v>0</v>
      </c>
    </row>
    <row r="211" spans="4:8" ht="13.8">
      <c r="D211" s="1"/>
      <c r="E211" s="1" t="str">
        <f>IF(ISERROR(VLOOKUP(D211,Categorias!A:B,2,0)),"",VLOOKUP(D211,Categorias!A:B,2,0))</f>
        <v/>
      </c>
      <c r="F211" s="80"/>
      <c r="G211" s="5"/>
      <c r="H211" s="73">
        <f t="shared" si="3"/>
        <v>0</v>
      </c>
    </row>
    <row r="212" spans="4:8" ht="13.8">
      <c r="D212" s="1"/>
      <c r="E212" s="1" t="str">
        <f>IF(ISERROR(VLOOKUP(D212,Categorias!A:B,2,0)),"",VLOOKUP(D212,Categorias!A:B,2,0))</f>
        <v/>
      </c>
      <c r="F212" s="80"/>
      <c r="G212" s="5"/>
      <c r="H212" s="73">
        <f t="shared" si="3"/>
        <v>0</v>
      </c>
    </row>
    <row r="213" spans="4:8" ht="13.8">
      <c r="D213" s="1"/>
      <c r="E213" s="1" t="str">
        <f>IF(ISERROR(VLOOKUP(D213,Categorias!A:B,2,0)),"",VLOOKUP(D213,Categorias!A:B,2,0))</f>
        <v/>
      </c>
      <c r="F213" s="80"/>
      <c r="G213" s="5"/>
      <c r="H213" s="73">
        <f t="shared" si="3"/>
        <v>0</v>
      </c>
    </row>
    <row r="214" spans="4:8" ht="13.8">
      <c r="D214" s="1"/>
      <c r="E214" s="1" t="str">
        <f>IF(ISERROR(VLOOKUP(D214,Categorias!A:B,2,0)),"",VLOOKUP(D214,Categorias!A:B,2,0))</f>
        <v/>
      </c>
      <c r="F214" s="80"/>
      <c r="G214" s="5"/>
      <c r="H214" s="73">
        <f t="shared" si="3"/>
        <v>0</v>
      </c>
    </row>
    <row r="215" spans="4:8" ht="13.8">
      <c r="D215" s="1"/>
      <c r="E215" s="1" t="str">
        <f>IF(ISERROR(VLOOKUP(D215,Categorias!A:B,2,0)),"",VLOOKUP(D215,Categorias!A:B,2,0))</f>
        <v/>
      </c>
      <c r="F215" s="80"/>
      <c r="G215" s="5"/>
      <c r="H215" s="73">
        <f t="shared" si="3"/>
        <v>0</v>
      </c>
    </row>
    <row r="216" spans="4:8" ht="13.8">
      <c r="D216" s="1"/>
      <c r="E216" s="1" t="str">
        <f>IF(ISERROR(VLOOKUP(D216,Categorias!A:B,2,0)),"",VLOOKUP(D216,Categorias!A:B,2,0))</f>
        <v/>
      </c>
      <c r="F216" s="80"/>
      <c r="G216" s="5"/>
      <c r="H216" s="73">
        <f t="shared" si="3"/>
        <v>0</v>
      </c>
    </row>
    <row r="217" spans="4:8" ht="13.8">
      <c r="D217" s="1"/>
      <c r="E217" s="1" t="str">
        <f>IF(ISERROR(VLOOKUP(D217,Categorias!A:B,2,0)),"",VLOOKUP(D217,Categorias!A:B,2,0))</f>
        <v/>
      </c>
      <c r="F217" s="80"/>
      <c r="G217" s="5"/>
      <c r="H217" s="73">
        <f t="shared" si="3"/>
        <v>0</v>
      </c>
    </row>
    <row r="218" spans="4:8" ht="13.8">
      <c r="D218" s="1"/>
      <c r="E218" s="1" t="str">
        <f>IF(ISERROR(VLOOKUP(D218,Categorias!A:B,2,0)),"",VLOOKUP(D218,Categorias!A:B,2,0))</f>
        <v/>
      </c>
      <c r="F218" s="80"/>
      <c r="G218" s="5"/>
      <c r="H218" s="73">
        <f t="shared" si="3"/>
        <v>0</v>
      </c>
    </row>
    <row r="219" spans="4:8" ht="13.8">
      <c r="D219" s="1"/>
      <c r="E219" s="1" t="str">
        <f>IF(ISERROR(VLOOKUP(D219,Categorias!A:B,2,0)),"",VLOOKUP(D219,Categorias!A:B,2,0))</f>
        <v/>
      </c>
      <c r="F219" s="80"/>
      <c r="G219" s="5"/>
      <c r="H219" s="73">
        <f t="shared" si="3"/>
        <v>0</v>
      </c>
    </row>
    <row r="220" spans="4:8" ht="13.8">
      <c r="D220" s="1"/>
      <c r="E220" s="1" t="str">
        <f>IF(ISERROR(VLOOKUP(D220,Categorias!A:B,2,0)),"",VLOOKUP(D220,Categorias!A:B,2,0))</f>
        <v/>
      </c>
      <c r="F220" s="80"/>
      <c r="G220" s="5"/>
      <c r="H220" s="73">
        <f t="shared" si="3"/>
        <v>0</v>
      </c>
    </row>
    <row r="221" spans="4:8" ht="13.8">
      <c r="D221" s="1"/>
      <c r="E221" s="1" t="str">
        <f>IF(ISERROR(VLOOKUP(D221,Categorias!A:B,2,0)),"",VLOOKUP(D221,Categorias!A:B,2,0))</f>
        <v/>
      </c>
      <c r="F221" s="80"/>
      <c r="G221" s="5"/>
      <c r="H221" s="73">
        <f t="shared" si="3"/>
        <v>0</v>
      </c>
    </row>
    <row r="222" spans="4:8" ht="13.8">
      <c r="D222" s="1"/>
      <c r="E222" s="1" t="str">
        <f>IF(ISERROR(VLOOKUP(D222,Categorias!A:B,2,0)),"",VLOOKUP(D222,Categorias!A:B,2,0))</f>
        <v/>
      </c>
      <c r="F222" s="80"/>
      <c r="G222" s="5"/>
      <c r="H222" s="73">
        <f t="shared" si="3"/>
        <v>0</v>
      </c>
    </row>
    <row r="223" spans="4:8" ht="13.8">
      <c r="D223" s="1"/>
      <c r="E223" s="1" t="str">
        <f>IF(ISERROR(VLOOKUP(D223,Categorias!A:B,2,0)),"",VLOOKUP(D223,Categorias!A:B,2,0))</f>
        <v/>
      </c>
      <c r="F223" s="80"/>
      <c r="G223" s="5"/>
      <c r="H223" s="73">
        <f t="shared" si="3"/>
        <v>0</v>
      </c>
    </row>
    <row r="224" spans="4:8" ht="13.8">
      <c r="D224" s="1"/>
      <c r="E224" s="1" t="str">
        <f>IF(ISERROR(VLOOKUP(D224,Categorias!A:B,2,0)),"",VLOOKUP(D224,Categorias!A:B,2,0))</f>
        <v/>
      </c>
      <c r="F224" s="80"/>
      <c r="G224" s="5"/>
      <c r="H224" s="73">
        <f t="shared" si="3"/>
        <v>0</v>
      </c>
    </row>
    <row r="225" spans="4:8" ht="13.8">
      <c r="D225" s="1"/>
      <c r="E225" s="1" t="str">
        <f>IF(ISERROR(VLOOKUP(D225,Categorias!A:B,2,0)),"",VLOOKUP(D225,Categorias!A:B,2,0))</f>
        <v/>
      </c>
      <c r="F225" s="80"/>
      <c r="G225" s="5"/>
      <c r="H225" s="73">
        <f t="shared" si="3"/>
        <v>0</v>
      </c>
    </row>
    <row r="226" spans="4:8" ht="13.8">
      <c r="D226" s="1"/>
      <c r="E226" s="1" t="str">
        <f>IF(ISERROR(VLOOKUP(D226,Categorias!A:B,2,0)),"",VLOOKUP(D226,Categorias!A:B,2,0))</f>
        <v/>
      </c>
      <c r="F226" s="80"/>
      <c r="G226" s="5"/>
      <c r="H226" s="73">
        <f t="shared" si="3"/>
        <v>0</v>
      </c>
    </row>
    <row r="227" spans="4:8" ht="13.8">
      <c r="D227" s="1"/>
      <c r="E227" s="1" t="str">
        <f>IF(ISERROR(VLOOKUP(D227,Categorias!A:B,2,0)),"",VLOOKUP(D227,Categorias!A:B,2,0))</f>
        <v/>
      </c>
      <c r="F227" s="80"/>
      <c r="G227" s="5"/>
      <c r="H227" s="73">
        <f t="shared" si="3"/>
        <v>0</v>
      </c>
    </row>
    <row r="228" spans="4:8" ht="13.8">
      <c r="D228" s="1"/>
      <c r="E228" s="1" t="str">
        <f>IF(ISERROR(VLOOKUP(D228,Categorias!A:B,2,0)),"",VLOOKUP(D228,Categorias!A:B,2,0))</f>
        <v/>
      </c>
      <c r="F228" s="80"/>
      <c r="G228" s="5"/>
      <c r="H228" s="73">
        <f t="shared" si="3"/>
        <v>0</v>
      </c>
    </row>
    <row r="229" spans="4:8" ht="13.8">
      <c r="D229" s="1"/>
      <c r="E229" s="1" t="str">
        <f>IF(ISERROR(VLOOKUP(D229,Categorias!A:B,2,0)),"",VLOOKUP(D229,Categorias!A:B,2,0))</f>
        <v/>
      </c>
      <c r="F229" s="80"/>
      <c r="G229" s="5"/>
      <c r="H229" s="73">
        <f t="shared" si="3"/>
        <v>0</v>
      </c>
    </row>
    <row r="230" spans="4:8" ht="13.8">
      <c r="D230" s="1"/>
      <c r="E230" s="1" t="str">
        <f>IF(ISERROR(VLOOKUP(D230,Categorias!A:B,2,0)),"",VLOOKUP(D230,Categorias!A:B,2,0))</f>
        <v/>
      </c>
      <c r="F230" s="80"/>
      <c r="G230" s="5"/>
      <c r="H230" s="73">
        <f t="shared" si="3"/>
        <v>0</v>
      </c>
    </row>
    <row r="231" spans="4:8" ht="13.8">
      <c r="D231" s="1"/>
      <c r="E231" s="1" t="str">
        <f>IF(ISERROR(VLOOKUP(D231,Categorias!A:B,2,0)),"",VLOOKUP(D231,Categorias!A:B,2,0))</f>
        <v/>
      </c>
      <c r="F231" s="80"/>
      <c r="G231" s="5"/>
      <c r="H231" s="73">
        <f t="shared" si="3"/>
        <v>0</v>
      </c>
    </row>
    <row r="232" spans="4:8" ht="13.8">
      <c r="D232" s="1"/>
      <c r="E232" s="1" t="str">
        <f>IF(ISERROR(VLOOKUP(D232,Categorias!A:B,2,0)),"",VLOOKUP(D232,Categorias!A:B,2,0))</f>
        <v/>
      </c>
      <c r="F232" s="80"/>
      <c r="G232" s="5"/>
      <c r="H232" s="73">
        <f t="shared" si="3"/>
        <v>0</v>
      </c>
    </row>
    <row r="233" spans="4:8" ht="13.8">
      <c r="D233" s="1"/>
      <c r="E233" s="1" t="str">
        <f>IF(ISERROR(VLOOKUP(D233,Categorias!A:B,2,0)),"",VLOOKUP(D233,Categorias!A:B,2,0))</f>
        <v/>
      </c>
      <c r="F233" s="80"/>
      <c r="G233" s="5"/>
      <c r="H233" s="73">
        <f t="shared" si="3"/>
        <v>0</v>
      </c>
    </row>
    <row r="234" spans="4:8" ht="13.8">
      <c r="D234" s="1"/>
      <c r="E234" s="1" t="str">
        <f>IF(ISERROR(VLOOKUP(D234,Categorias!A:B,2,0)),"",VLOOKUP(D234,Categorias!A:B,2,0))</f>
        <v/>
      </c>
      <c r="F234" s="80"/>
      <c r="G234" s="5"/>
      <c r="H234" s="73">
        <f t="shared" si="3"/>
        <v>0</v>
      </c>
    </row>
    <row r="235" spans="4:8" ht="13.8">
      <c r="D235" s="1"/>
      <c r="E235" s="1" t="str">
        <f>IF(ISERROR(VLOOKUP(D235,Categorias!A:B,2,0)),"",VLOOKUP(D235,Categorias!A:B,2,0))</f>
        <v/>
      </c>
      <c r="F235" s="80"/>
      <c r="G235" s="5"/>
      <c r="H235" s="73">
        <f t="shared" si="3"/>
        <v>0</v>
      </c>
    </row>
    <row r="236" spans="4:8" ht="13.8">
      <c r="D236" s="1"/>
      <c r="E236" s="1" t="str">
        <f>IF(ISERROR(VLOOKUP(D236,Categorias!A:B,2,0)),"",VLOOKUP(D236,Categorias!A:B,2,0))</f>
        <v/>
      </c>
      <c r="F236" s="80"/>
      <c r="G236" s="5"/>
      <c r="H236" s="73">
        <f t="shared" si="3"/>
        <v>0</v>
      </c>
    </row>
    <row r="237" spans="4:8" ht="13.8">
      <c r="D237" s="1"/>
      <c r="E237" s="1" t="str">
        <f>IF(ISERROR(VLOOKUP(D237,Categorias!A:B,2,0)),"",VLOOKUP(D237,Categorias!A:B,2,0))</f>
        <v/>
      </c>
      <c r="F237" s="80"/>
      <c r="G237" s="5"/>
      <c r="H237" s="73">
        <f t="shared" si="3"/>
        <v>0</v>
      </c>
    </row>
    <row r="238" spans="4:8" ht="13.8">
      <c r="D238" s="1"/>
      <c r="E238" s="1" t="str">
        <f>IF(ISERROR(VLOOKUP(D238,Categorias!A:B,2,0)),"",VLOOKUP(D238,Categorias!A:B,2,0))</f>
        <v/>
      </c>
      <c r="F238" s="80"/>
      <c r="G238" s="5"/>
      <c r="H238" s="73">
        <f t="shared" si="3"/>
        <v>0</v>
      </c>
    </row>
    <row r="239" spans="4:8" ht="13.8">
      <c r="D239" s="1"/>
      <c r="E239" s="1" t="str">
        <f>IF(ISERROR(VLOOKUP(D239,Categorias!A:B,2,0)),"",VLOOKUP(D239,Categorias!A:B,2,0))</f>
        <v/>
      </c>
      <c r="F239" s="80"/>
      <c r="G239" s="5"/>
      <c r="H239" s="73">
        <f t="shared" si="3"/>
        <v>0</v>
      </c>
    </row>
    <row r="240" spans="4:8" ht="13.8">
      <c r="D240" s="1"/>
      <c r="E240" s="1" t="str">
        <f>IF(ISERROR(VLOOKUP(D240,Categorias!A:B,2,0)),"",VLOOKUP(D240,Categorias!A:B,2,0))</f>
        <v/>
      </c>
      <c r="F240" s="80"/>
      <c r="G240" s="5"/>
      <c r="H240" s="73">
        <f t="shared" si="3"/>
        <v>0</v>
      </c>
    </row>
    <row r="241" spans="4:8" ht="13.8">
      <c r="D241" s="1"/>
      <c r="E241" s="1" t="str">
        <f>IF(ISERROR(VLOOKUP(D241,Categorias!A:B,2,0)),"",VLOOKUP(D241,Categorias!A:B,2,0))</f>
        <v/>
      </c>
      <c r="F241" s="80"/>
      <c r="G241" s="5"/>
      <c r="H241" s="73">
        <f t="shared" si="3"/>
        <v>0</v>
      </c>
    </row>
    <row r="242" spans="4:8" ht="13.8">
      <c r="D242" s="1"/>
      <c r="E242" s="1" t="str">
        <f>IF(ISERROR(VLOOKUP(D242,Categorias!A:B,2,0)),"",VLOOKUP(D242,Categorias!A:B,2,0))</f>
        <v/>
      </c>
      <c r="F242" s="80"/>
      <c r="G242" s="5"/>
      <c r="H242" s="73">
        <f t="shared" si="3"/>
        <v>0</v>
      </c>
    </row>
    <row r="243" spans="4:8" ht="13.8">
      <c r="D243" s="1"/>
      <c r="E243" s="1" t="str">
        <f>IF(ISERROR(VLOOKUP(D243,Categorias!A:B,2,0)),"",VLOOKUP(D243,Categorias!A:B,2,0))</f>
        <v/>
      </c>
      <c r="F243" s="80"/>
      <c r="G243" s="5"/>
      <c r="H243" s="73">
        <f t="shared" si="3"/>
        <v>0</v>
      </c>
    </row>
    <row r="244" spans="4:8" ht="13.8">
      <c r="D244" s="1"/>
      <c r="E244" s="1" t="str">
        <f>IF(ISERROR(VLOOKUP(D244,Categorias!A:B,2,0)),"",VLOOKUP(D244,Categorias!A:B,2,0))</f>
        <v/>
      </c>
      <c r="F244" s="80"/>
      <c r="G244" s="5"/>
      <c r="H244" s="73">
        <f t="shared" si="3"/>
        <v>0</v>
      </c>
    </row>
    <row r="245" spans="4:8" ht="13.8">
      <c r="D245" s="1"/>
      <c r="E245" s="1" t="str">
        <f>IF(ISERROR(VLOOKUP(D245,Categorias!A:B,2,0)),"",VLOOKUP(D245,Categorias!A:B,2,0))</f>
        <v/>
      </c>
      <c r="F245" s="80"/>
      <c r="G245" s="5"/>
      <c r="H245" s="73">
        <f t="shared" si="3"/>
        <v>0</v>
      </c>
    </row>
    <row r="246" spans="4:8" ht="13.8">
      <c r="D246" s="1"/>
      <c r="E246" s="1" t="str">
        <f>IF(ISERROR(VLOOKUP(D246,Categorias!A:B,2,0)),"",VLOOKUP(D246,Categorias!A:B,2,0))</f>
        <v/>
      </c>
      <c r="F246" s="80"/>
      <c r="G246" s="5"/>
      <c r="H246" s="73">
        <f t="shared" si="3"/>
        <v>0</v>
      </c>
    </row>
    <row r="247" spans="4:8" ht="13.8">
      <c r="D247" s="1"/>
      <c r="E247" s="1" t="str">
        <f>IF(ISERROR(VLOOKUP(D247,Categorias!A:B,2,0)),"",VLOOKUP(D247,Categorias!A:B,2,0))</f>
        <v/>
      </c>
      <c r="F247" s="80"/>
      <c r="G247" s="5"/>
      <c r="H247" s="73">
        <f t="shared" si="3"/>
        <v>0</v>
      </c>
    </row>
    <row r="248" spans="4:8" ht="13.8">
      <c r="D248" s="1"/>
      <c r="E248" s="1" t="str">
        <f>IF(ISERROR(VLOOKUP(D248,Categorias!A:B,2,0)),"",VLOOKUP(D248,Categorias!A:B,2,0))</f>
        <v/>
      </c>
      <c r="F248" s="80"/>
      <c r="G248" s="5"/>
      <c r="H248" s="73">
        <f t="shared" si="3"/>
        <v>0</v>
      </c>
    </row>
    <row r="249" spans="4:8" ht="13.8">
      <c r="D249" s="1"/>
      <c r="E249" s="1" t="str">
        <f>IF(ISERROR(VLOOKUP(D249,Categorias!A:B,2,0)),"",VLOOKUP(D249,Categorias!A:B,2,0))</f>
        <v/>
      </c>
      <c r="F249" s="80"/>
      <c r="G249" s="5"/>
      <c r="H249" s="73">
        <f t="shared" si="3"/>
        <v>0</v>
      </c>
    </row>
    <row r="250" spans="4:8" ht="13.8">
      <c r="D250" s="1"/>
      <c r="E250" s="1" t="str">
        <f>IF(ISERROR(VLOOKUP(D250,Categorias!A:B,2,0)),"",VLOOKUP(D250,Categorias!A:B,2,0))</f>
        <v/>
      </c>
      <c r="F250" s="80"/>
      <c r="G250" s="5"/>
      <c r="H250" s="73">
        <f t="shared" si="3"/>
        <v>0</v>
      </c>
    </row>
    <row r="251" spans="4:8" ht="13.8">
      <c r="D251" s="1"/>
      <c r="E251" s="1" t="str">
        <f>IF(ISERROR(VLOOKUP(D251,Categorias!A:B,2,0)),"",VLOOKUP(D251,Categorias!A:B,2,0))</f>
        <v/>
      </c>
      <c r="F251" s="80"/>
      <c r="G251" s="5"/>
      <c r="H251" s="73">
        <f t="shared" si="3"/>
        <v>0</v>
      </c>
    </row>
    <row r="252" spans="4:8" ht="13.8">
      <c r="D252" s="1"/>
      <c r="E252" s="1" t="str">
        <f>IF(ISERROR(VLOOKUP(D252,Categorias!A:B,2,0)),"",VLOOKUP(D252,Categorias!A:B,2,0))</f>
        <v/>
      </c>
      <c r="F252" s="80"/>
      <c r="G252" s="5"/>
      <c r="H252" s="73">
        <f t="shared" si="3"/>
        <v>0</v>
      </c>
    </row>
    <row r="253" spans="4:8" ht="13.8">
      <c r="D253" s="1"/>
      <c r="E253" s="1" t="str">
        <f>IF(ISERROR(VLOOKUP(D253,Categorias!A:B,2,0)),"",VLOOKUP(D253,Categorias!A:B,2,0))</f>
        <v/>
      </c>
      <c r="F253" s="80"/>
      <c r="G253" s="5"/>
      <c r="H253" s="73">
        <f t="shared" si="3"/>
        <v>0</v>
      </c>
    </row>
    <row r="254" spans="4:8" ht="13.8">
      <c r="D254" s="1"/>
      <c r="E254" s="1" t="str">
        <f>IF(ISERROR(VLOOKUP(D254,Categorias!A:B,2,0)),"",VLOOKUP(D254,Categorias!A:B,2,0))</f>
        <v/>
      </c>
      <c r="F254" s="80"/>
      <c r="G254" s="5"/>
      <c r="H254" s="73">
        <f t="shared" si="3"/>
        <v>0</v>
      </c>
    </row>
    <row r="255" spans="4:8" ht="13.8">
      <c r="F255" s="81"/>
      <c r="G255" s="6"/>
      <c r="H255" s="60"/>
    </row>
    <row r="256" spans="4:8" ht="13.8">
      <c r="F256" s="81"/>
      <c r="G256" s="6"/>
      <c r="H256" s="60"/>
    </row>
    <row r="257" spans="6:8" ht="13.8">
      <c r="F257" s="81"/>
      <c r="G257" s="6"/>
      <c r="H257" s="60"/>
    </row>
    <row r="258" spans="6:8" ht="13.8">
      <c r="F258" s="81"/>
      <c r="G258" s="6"/>
      <c r="H258" s="60"/>
    </row>
    <row r="259" spans="6:8" ht="13.8">
      <c r="F259" s="81"/>
      <c r="G259" s="6"/>
      <c r="H259" s="60"/>
    </row>
    <row r="260" spans="6:8" ht="13.8">
      <c r="F260" s="81"/>
      <c r="G260" s="6"/>
      <c r="H260" s="60"/>
    </row>
    <row r="261" spans="6:8" ht="13.8">
      <c r="F261" s="81"/>
      <c r="G261" s="6"/>
      <c r="H261" s="60"/>
    </row>
    <row r="262" spans="6:8" ht="13.8">
      <c r="F262" s="81"/>
      <c r="G262" s="6"/>
      <c r="H262" s="60"/>
    </row>
    <row r="263" spans="6:8" ht="13.8">
      <c r="F263" s="81"/>
      <c r="G263" s="6"/>
      <c r="H263" s="60"/>
    </row>
    <row r="264" spans="6:8" ht="13.8">
      <c r="F264" s="81"/>
      <c r="G264" s="6"/>
      <c r="H264" s="60"/>
    </row>
    <row r="265" spans="6:8" ht="13.8">
      <c r="F265" s="81"/>
      <c r="G265" s="6"/>
      <c r="H265" s="60"/>
    </row>
    <row r="266" spans="6:8" ht="13.8">
      <c r="F266" s="81"/>
      <c r="G266" s="6"/>
      <c r="H266" s="60"/>
    </row>
    <row r="267" spans="6:8" ht="13.8">
      <c r="F267" s="81"/>
      <c r="G267" s="6"/>
      <c r="H267" s="60"/>
    </row>
    <row r="268" spans="6:8" ht="13.8">
      <c r="F268" s="81"/>
      <c r="G268" s="6"/>
      <c r="H268" s="60"/>
    </row>
    <row r="269" spans="6:8" ht="13.8">
      <c r="F269" s="81"/>
      <c r="G269" s="6"/>
      <c r="H269" s="60"/>
    </row>
    <row r="270" spans="6:8" ht="13.8">
      <c r="F270" s="81"/>
      <c r="G270" s="6"/>
      <c r="H270" s="60"/>
    </row>
    <row r="271" spans="6:8" ht="13.8">
      <c r="F271" s="81"/>
      <c r="G271" s="6"/>
      <c r="H271" s="60"/>
    </row>
    <row r="272" spans="6:8" ht="13.8">
      <c r="F272" s="81"/>
      <c r="G272" s="6"/>
      <c r="H272" s="60"/>
    </row>
    <row r="273" spans="6:8" ht="13.8">
      <c r="F273" s="81"/>
      <c r="G273" s="6"/>
      <c r="H273" s="60"/>
    </row>
    <row r="274" spans="6:8" ht="13.8">
      <c r="F274" s="81"/>
      <c r="G274" s="6"/>
      <c r="H274" s="60"/>
    </row>
    <row r="275" spans="6:8" ht="13.8">
      <c r="F275" s="81"/>
      <c r="G275" s="6"/>
      <c r="H275" s="60"/>
    </row>
    <row r="276" spans="6:8" ht="13.8">
      <c r="F276" s="81"/>
      <c r="G276" s="6"/>
      <c r="H276" s="60"/>
    </row>
    <row r="277" spans="6:8" ht="13.8">
      <c r="F277" s="81"/>
      <c r="G277" s="6"/>
      <c r="H277" s="60"/>
    </row>
    <row r="278" spans="6:8" ht="13.8">
      <c r="F278" s="81"/>
      <c r="G278" s="6"/>
      <c r="H278" s="60"/>
    </row>
    <row r="279" spans="6:8" ht="13.8">
      <c r="F279" s="81"/>
      <c r="G279" s="6"/>
      <c r="H279" s="60"/>
    </row>
    <row r="280" spans="6:8" ht="13.8">
      <c r="F280" s="81"/>
      <c r="G280" s="6"/>
      <c r="H280" s="60"/>
    </row>
    <row r="281" spans="6:8" ht="13.8">
      <c r="F281" s="81"/>
      <c r="G281" s="6"/>
      <c r="H281" s="60"/>
    </row>
    <row r="282" spans="6:8" ht="13.8">
      <c r="F282" s="81"/>
      <c r="G282" s="6"/>
      <c r="H282" s="60"/>
    </row>
    <row r="283" spans="6:8" ht="13.8">
      <c r="F283" s="81"/>
      <c r="G283" s="6"/>
      <c r="H283" s="60"/>
    </row>
    <row r="284" spans="6:8" ht="13.8">
      <c r="F284" s="81"/>
      <c r="G284" s="6"/>
      <c r="H284" s="60"/>
    </row>
    <row r="285" spans="6:8" ht="13.8">
      <c r="F285" s="81"/>
      <c r="G285" s="6"/>
      <c r="H285" s="60"/>
    </row>
    <row r="286" spans="6:8" ht="13.8">
      <c r="F286" s="81"/>
      <c r="G286" s="6"/>
      <c r="H286" s="60"/>
    </row>
    <row r="287" spans="6:8" ht="13.8">
      <c r="F287" s="81"/>
      <c r="G287" s="6"/>
      <c r="H287" s="60"/>
    </row>
    <row r="288" spans="6:8" ht="13.8">
      <c r="F288" s="81"/>
      <c r="G288" s="6"/>
      <c r="H288" s="60"/>
    </row>
    <row r="289" spans="6:8" ht="13.8">
      <c r="F289" s="81"/>
      <c r="G289" s="6"/>
      <c r="H289" s="60"/>
    </row>
    <row r="290" spans="6:8" ht="13.8">
      <c r="F290" s="81"/>
      <c r="G290" s="6"/>
      <c r="H290" s="60"/>
    </row>
    <row r="291" spans="6:8" ht="13.8">
      <c r="F291" s="81"/>
      <c r="G291" s="6"/>
      <c r="H291" s="60"/>
    </row>
    <row r="292" spans="6:8" ht="13.8">
      <c r="F292" s="81"/>
      <c r="G292" s="6"/>
      <c r="H292" s="60"/>
    </row>
    <row r="293" spans="6:8" ht="13.8">
      <c r="F293" s="81"/>
      <c r="G293" s="6"/>
      <c r="H293" s="60"/>
    </row>
    <row r="294" spans="6:8" ht="13.8">
      <c r="F294" s="81"/>
      <c r="G294" s="6"/>
      <c r="H294" s="60"/>
    </row>
    <row r="295" spans="6:8" ht="13.8">
      <c r="F295" s="81"/>
      <c r="G295" s="6"/>
      <c r="H295" s="60"/>
    </row>
    <row r="296" spans="6:8" ht="13.8">
      <c r="F296" s="81"/>
      <c r="G296" s="6"/>
      <c r="H296" s="60"/>
    </row>
    <row r="297" spans="6:8" ht="13.8">
      <c r="F297" s="81"/>
      <c r="G297" s="6"/>
      <c r="H297" s="60"/>
    </row>
    <row r="298" spans="6:8" ht="13.8">
      <c r="F298" s="81"/>
      <c r="G298" s="6"/>
      <c r="H298" s="60"/>
    </row>
    <row r="299" spans="6:8" ht="13.8">
      <c r="F299" s="81"/>
      <c r="G299" s="6"/>
      <c r="H299" s="60"/>
    </row>
    <row r="300" spans="6:8" ht="13.8">
      <c r="F300" s="81"/>
      <c r="G300" s="6"/>
      <c r="H300" s="60"/>
    </row>
    <row r="301" spans="6:8" ht="13.8">
      <c r="F301" s="81"/>
      <c r="G301" s="6"/>
      <c r="H301" s="60"/>
    </row>
    <row r="302" spans="6:8" ht="13.8">
      <c r="F302" s="81"/>
      <c r="G302" s="6"/>
      <c r="H302" s="60"/>
    </row>
    <row r="303" spans="6:8" ht="13.8">
      <c r="F303" s="81"/>
      <c r="G303" s="6"/>
      <c r="H303" s="60"/>
    </row>
    <row r="304" spans="6:8" ht="13.8">
      <c r="F304" s="81"/>
      <c r="G304" s="6"/>
      <c r="H304" s="60"/>
    </row>
    <row r="305" spans="6:8" ht="13.8">
      <c r="F305" s="81"/>
      <c r="G305" s="6"/>
      <c r="H305" s="60"/>
    </row>
    <row r="306" spans="6:8" ht="13.8">
      <c r="F306" s="81"/>
      <c r="G306" s="6"/>
      <c r="H306" s="60"/>
    </row>
    <row r="307" spans="6:8" ht="13.8">
      <c r="F307" s="81"/>
      <c r="G307" s="6"/>
      <c r="H307" s="60"/>
    </row>
    <row r="308" spans="6:8" ht="13.8">
      <c r="F308" s="81"/>
      <c r="G308" s="6"/>
      <c r="H308" s="60"/>
    </row>
    <row r="309" spans="6:8" ht="13.8">
      <c r="F309" s="81"/>
      <c r="G309" s="6"/>
      <c r="H309" s="60"/>
    </row>
    <row r="310" spans="6:8" ht="13.8">
      <c r="F310" s="81"/>
      <c r="G310" s="6"/>
      <c r="H310" s="60"/>
    </row>
    <row r="311" spans="6:8" ht="13.8">
      <c r="F311" s="81"/>
      <c r="G311" s="6"/>
      <c r="H311" s="60"/>
    </row>
    <row r="312" spans="6:8" ht="13.8">
      <c r="F312" s="81"/>
      <c r="G312" s="6"/>
      <c r="H312" s="60"/>
    </row>
    <row r="313" spans="6:8" ht="13.8">
      <c r="F313" s="81"/>
      <c r="G313" s="6"/>
      <c r="H313" s="60"/>
    </row>
    <row r="314" spans="6:8" ht="13.8">
      <c r="F314" s="81"/>
      <c r="G314" s="6"/>
      <c r="H314" s="60"/>
    </row>
    <row r="315" spans="6:8" ht="13.8">
      <c r="F315" s="81"/>
      <c r="G315" s="6"/>
      <c r="H315" s="60"/>
    </row>
    <row r="316" spans="6:8" ht="13.8">
      <c r="F316" s="81"/>
      <c r="G316" s="6"/>
      <c r="H316" s="60"/>
    </row>
    <row r="317" spans="6:8" ht="13.8">
      <c r="F317" s="81"/>
      <c r="G317" s="6"/>
      <c r="H317" s="60"/>
    </row>
    <row r="318" spans="6:8" ht="13.8">
      <c r="F318" s="81"/>
      <c r="G318" s="6"/>
      <c r="H318" s="60"/>
    </row>
    <row r="319" spans="6:8" ht="13.8">
      <c r="F319" s="81"/>
      <c r="G319" s="6"/>
      <c r="H319" s="60"/>
    </row>
    <row r="320" spans="6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  <row r="455" spans="6:8" ht="13.2"/>
    <row r="456" spans="6:8" ht="13.2"/>
    <row r="457" spans="6:8" ht="13.2"/>
    <row r="458" spans="6:8" ht="13.2"/>
    <row r="459" spans="6:8" ht="13.2"/>
    <row r="460" spans="6:8" ht="13.2"/>
    <row r="461" spans="6:8" ht="13.2"/>
    <row r="462" spans="6:8" ht="13.2"/>
    <row r="463" spans="6:8" ht="13.2"/>
    <row r="464" spans="6:8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</sheetData>
  <autoFilter ref="A5:G249" xr:uid="{00000000-0009-0000-0000-000002000000}"/>
  <mergeCells count="12">
    <mergeCell ref="B2:H5"/>
    <mergeCell ref="B7:D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F3C06ED2-001E-4511-8247-0C526463522C}">
          <x14:formula1>
            <xm:f>Categorias!$A:$A</xm:f>
          </x14:formula1>
          <xm:sqref>D13:D254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6FFD3-01EB-41B0-8440-C12679865C13}">
  <dimension ref="A1:H997"/>
  <sheetViews>
    <sheetView showGridLines="0" topLeftCell="A4" workbookViewId="0">
      <selection activeCell="G7" sqref="G7:H7"/>
    </sheetView>
  </sheetViews>
  <sheetFormatPr defaultColWidth="12.6640625" defaultRowHeight="15" customHeight="1"/>
  <cols>
    <col min="1" max="1" width="5.33203125" style="77" customWidth="1"/>
    <col min="2" max="2" width="13" style="76" bestFit="1" customWidth="1"/>
    <col min="3" max="3" width="33.33203125" style="7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8" s="8" customFormat="1" ht="4.5" customHeight="1">
      <c r="B1" s="76"/>
      <c r="C1" s="83"/>
      <c r="F1" s="85"/>
      <c r="G1" s="63"/>
    </row>
    <row r="2" spans="1:8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8" ht="12.75" customHeight="1">
      <c r="B3" s="137"/>
      <c r="C3" s="138"/>
      <c r="D3" s="138"/>
      <c r="E3" s="138"/>
      <c r="F3" s="138"/>
      <c r="G3" s="138"/>
      <c r="H3" s="138"/>
    </row>
    <row r="4" spans="1:8" ht="12.75" customHeight="1">
      <c r="B4" s="137"/>
      <c r="C4" s="138"/>
      <c r="D4" s="138"/>
      <c r="E4" s="138"/>
      <c r="F4" s="138"/>
      <c r="G4" s="138"/>
      <c r="H4" s="138"/>
    </row>
    <row r="5" spans="1:8" ht="12.75" customHeight="1">
      <c r="B5" s="139"/>
      <c r="C5" s="140"/>
      <c r="D5" s="140"/>
      <c r="E5" s="140"/>
      <c r="F5" s="140"/>
      <c r="G5" s="140"/>
      <c r="H5" s="140"/>
    </row>
    <row r="6" spans="1:8" s="8" customFormat="1" ht="3.75" customHeight="1">
      <c r="B6" s="76"/>
      <c r="C6" s="83"/>
      <c r="F6" s="85"/>
      <c r="G6" s="63"/>
    </row>
    <row r="7" spans="1:8" ht="21">
      <c r="A7" s="61"/>
      <c r="B7" s="149" t="s">
        <v>95</v>
      </c>
      <c r="C7" s="150"/>
      <c r="D7" s="150"/>
      <c r="E7" s="71"/>
      <c r="F7" s="71"/>
      <c r="G7" s="135">
        <f>D8+D9+D10+G8+G9+G10</f>
        <v>0</v>
      </c>
      <c r="H7" s="136"/>
    </row>
    <row r="8" spans="1:8" ht="15.6">
      <c r="A8" s="61"/>
      <c r="B8" s="148" t="s">
        <v>90</v>
      </c>
      <c r="C8" s="148"/>
      <c r="D8" s="65"/>
      <c r="E8" s="147" t="s">
        <v>93</v>
      </c>
      <c r="F8" s="148"/>
      <c r="G8" s="141"/>
      <c r="H8" s="142"/>
    </row>
    <row r="9" spans="1:8" ht="15.6">
      <c r="A9" s="61"/>
      <c r="B9" s="146" t="s">
        <v>91</v>
      </c>
      <c r="C9" s="146"/>
      <c r="D9" s="64"/>
      <c r="E9" s="145" t="s">
        <v>94</v>
      </c>
      <c r="F9" s="146"/>
      <c r="G9" s="143"/>
      <c r="H9" s="144"/>
    </row>
    <row r="10" spans="1:8" s="8" customFormat="1" ht="15.6">
      <c r="A10" s="61"/>
      <c r="B10" s="148" t="s">
        <v>92</v>
      </c>
      <c r="C10" s="148"/>
      <c r="D10" s="65"/>
      <c r="E10" s="145" t="s">
        <v>96</v>
      </c>
      <c r="F10" s="146"/>
      <c r="G10" s="141"/>
      <c r="H10" s="142"/>
    </row>
    <row r="11" spans="1:8" s="8" customFormat="1" ht="4.5" customHeight="1">
      <c r="B11" s="76"/>
      <c r="C11" s="83"/>
      <c r="F11" s="84"/>
      <c r="G11" s="84"/>
    </row>
    <row r="12" spans="1:8" ht="18">
      <c r="B12" s="67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8" ht="13.8">
      <c r="B13" s="74"/>
      <c r="C13" s="68"/>
      <c r="D13" s="1"/>
      <c r="E13" s="62" t="str">
        <f>IF(ISERROR(VLOOKUP(D13,Categorias!A:B,2,0)),"",VLOOKUP(D13,Categorias!A:B,2,0))</f>
        <v/>
      </c>
      <c r="F13" s="80"/>
      <c r="G13" s="5"/>
      <c r="H13" s="78">
        <f>G7+F13-G13</f>
        <v>0</v>
      </c>
    </row>
    <row r="14" spans="1:8" ht="9.75" customHeight="1">
      <c r="B14" s="74"/>
      <c r="C14" s="68"/>
      <c r="D14" s="1"/>
      <c r="E14" s="1" t="str">
        <f>IF(ISERROR(VLOOKUP(D14,Categorias!A:B,2,0)),"",VLOOKUP(D14,Categorias!A:B,2,0))</f>
        <v/>
      </c>
      <c r="F14" s="80"/>
      <c r="G14" s="5"/>
      <c r="H14" s="79">
        <f t="shared" ref="H14:H77" si="0">H13+F14-G14</f>
        <v>0</v>
      </c>
    </row>
    <row r="15" spans="1:8" ht="13.8">
      <c r="B15" s="74"/>
      <c r="C15" s="68"/>
      <c r="D15" s="1"/>
      <c r="E15" s="1" t="str">
        <f>IF(ISERROR(VLOOKUP(D15,Categorias!A:B,2,0)),"",VLOOKUP(D15,Categorias!A:B,2,0))</f>
        <v/>
      </c>
      <c r="F15" s="80"/>
      <c r="G15" s="5"/>
      <c r="H15" s="79">
        <f t="shared" si="0"/>
        <v>0</v>
      </c>
    </row>
    <row r="16" spans="1:8" ht="13.8">
      <c r="B16" s="74"/>
      <c r="C16" s="68"/>
      <c r="D16" s="1"/>
      <c r="E16" s="1" t="str">
        <f>IF(ISERROR(VLOOKUP(D16,Categorias!A:B,2,0)),"",VLOOKUP(D16,Categorias!A:B,2,0))</f>
        <v/>
      </c>
      <c r="F16" s="80"/>
      <c r="G16" s="5"/>
      <c r="H16" s="79">
        <f t="shared" si="0"/>
        <v>0</v>
      </c>
    </row>
    <row r="17" spans="2:8" ht="13.8">
      <c r="B17" s="74"/>
      <c r="C17" s="68"/>
      <c r="D17" s="1"/>
      <c r="E17" s="1" t="str">
        <f>IF(ISERROR(VLOOKUP(D17,Categorias!A:B,2,0)),"",VLOOKUP(D17,Categorias!A:B,2,0))</f>
        <v/>
      </c>
      <c r="F17" s="80"/>
      <c r="G17" s="5"/>
      <c r="H17" s="79">
        <f t="shared" si="0"/>
        <v>0</v>
      </c>
    </row>
    <row r="18" spans="2:8" ht="13.8">
      <c r="B18" s="74"/>
      <c r="C18" s="68"/>
      <c r="D18" s="1"/>
      <c r="E18" s="1" t="str">
        <f>IF(ISERROR(VLOOKUP(D18,Categorias!A:B,2,0)),"",VLOOKUP(D18,Categorias!A:B,2,0))</f>
        <v/>
      </c>
      <c r="F18" s="80"/>
      <c r="G18" s="5"/>
      <c r="H18" s="79">
        <f t="shared" si="0"/>
        <v>0</v>
      </c>
    </row>
    <row r="19" spans="2:8" ht="13.8">
      <c r="B19" s="74"/>
      <c r="C19" s="68"/>
      <c r="D19" s="1"/>
      <c r="E19" s="1" t="str">
        <f>IF(ISERROR(VLOOKUP(D19,Categorias!A:B,2,0)),"",VLOOKUP(D19,Categorias!A:B,2,0))</f>
        <v/>
      </c>
      <c r="F19" s="80"/>
      <c r="G19" s="5"/>
      <c r="H19" s="79">
        <f t="shared" si="0"/>
        <v>0</v>
      </c>
    </row>
    <row r="20" spans="2:8" ht="13.8">
      <c r="B20" s="74"/>
      <c r="C20" s="68"/>
      <c r="D20" s="1"/>
      <c r="E20" s="1" t="str">
        <f>IF(ISERROR(VLOOKUP(D20,Categorias!A:B,2,0)),"",VLOOKUP(D20,Categorias!A:B,2,0))</f>
        <v/>
      </c>
      <c r="F20" s="80"/>
      <c r="G20" s="5"/>
      <c r="H20" s="79">
        <f t="shared" si="0"/>
        <v>0</v>
      </c>
    </row>
    <row r="21" spans="2:8" ht="13.8">
      <c r="B21" s="74"/>
      <c r="C21" s="68"/>
      <c r="D21" s="1"/>
      <c r="E21" s="1" t="str">
        <f>IF(ISERROR(VLOOKUP(D21,Categorias!A:B,2,0)),"",VLOOKUP(D21,Categorias!A:B,2,0))</f>
        <v/>
      </c>
      <c r="F21" s="80"/>
      <c r="G21" s="5"/>
      <c r="H21" s="79">
        <f t="shared" si="0"/>
        <v>0</v>
      </c>
    </row>
    <row r="22" spans="2:8" ht="13.8">
      <c r="B22" s="74"/>
      <c r="C22" s="68"/>
      <c r="D22" s="1"/>
      <c r="E22" s="1" t="str">
        <f>IF(ISERROR(VLOOKUP(D22,Categorias!A:B,2,0)),"",VLOOKUP(D22,Categorias!A:B,2,0))</f>
        <v/>
      </c>
      <c r="F22" s="80"/>
      <c r="G22" s="5"/>
      <c r="H22" s="79">
        <f t="shared" si="0"/>
        <v>0</v>
      </c>
    </row>
    <row r="23" spans="2:8" ht="13.8">
      <c r="B23" s="74"/>
      <c r="C23" s="68"/>
      <c r="D23" s="1"/>
      <c r="E23" s="1" t="str">
        <f>IF(ISERROR(VLOOKUP(D23,Categorias!A:B,2,0)),"",VLOOKUP(D23,Categorias!A:B,2,0))</f>
        <v/>
      </c>
      <c r="F23" s="80"/>
      <c r="G23" s="5"/>
      <c r="H23" s="79">
        <f t="shared" si="0"/>
        <v>0</v>
      </c>
    </row>
    <row r="24" spans="2:8" ht="13.8">
      <c r="B24" s="74"/>
      <c r="C24" s="68"/>
      <c r="D24" s="1"/>
      <c r="E24" s="1" t="str">
        <f>IF(ISERROR(VLOOKUP(D24,Categorias!A:B,2,0)),"",VLOOKUP(D24,Categorias!A:B,2,0))</f>
        <v/>
      </c>
      <c r="F24" s="80"/>
      <c r="G24" s="5"/>
      <c r="H24" s="79">
        <f t="shared" si="0"/>
        <v>0</v>
      </c>
    </row>
    <row r="25" spans="2:8" ht="13.8">
      <c r="B25" s="74"/>
      <c r="C25" s="68"/>
      <c r="D25" s="1"/>
      <c r="E25" s="1" t="str">
        <f>IF(ISERROR(VLOOKUP(D25,Categorias!A:B,2,0)),"",VLOOKUP(D25,Categorias!A:B,2,0))</f>
        <v/>
      </c>
      <c r="F25" s="80"/>
      <c r="G25" s="5"/>
      <c r="H25" s="79">
        <f t="shared" si="0"/>
        <v>0</v>
      </c>
    </row>
    <row r="26" spans="2:8" ht="13.8">
      <c r="B26" s="74"/>
      <c r="C26" s="68"/>
      <c r="D26" s="1"/>
      <c r="E26" s="1" t="str">
        <f>IF(ISERROR(VLOOKUP(D26,Categorias!A:B,2,0)),"",VLOOKUP(D26,Categorias!A:B,2,0))</f>
        <v/>
      </c>
      <c r="F26" s="80"/>
      <c r="G26" s="5"/>
      <c r="H26" s="79">
        <f t="shared" si="0"/>
        <v>0</v>
      </c>
    </row>
    <row r="27" spans="2:8" ht="13.8">
      <c r="B27" s="74"/>
      <c r="C27" s="68"/>
      <c r="D27" s="1"/>
      <c r="E27" s="1" t="str">
        <f>IF(ISERROR(VLOOKUP(D27,Categorias!A:B,2,0)),"",VLOOKUP(D27,Categorias!A:B,2,0))</f>
        <v/>
      </c>
      <c r="F27" s="80"/>
      <c r="G27" s="5"/>
      <c r="H27" s="79">
        <f t="shared" si="0"/>
        <v>0</v>
      </c>
    </row>
    <row r="28" spans="2:8" ht="13.8">
      <c r="B28" s="74"/>
      <c r="C28" s="68"/>
      <c r="D28" s="1"/>
      <c r="E28" s="1" t="str">
        <f>IF(ISERROR(VLOOKUP(D28,Categorias!A:B,2,0)),"",VLOOKUP(D28,Categorias!A:B,2,0))</f>
        <v/>
      </c>
      <c r="F28" s="80"/>
      <c r="G28" s="5"/>
      <c r="H28" s="79">
        <f t="shared" si="0"/>
        <v>0</v>
      </c>
    </row>
    <row r="29" spans="2:8" ht="13.8">
      <c r="B29" s="74"/>
      <c r="C29" s="68"/>
      <c r="D29" s="1"/>
      <c r="E29" s="1" t="str">
        <f>IF(ISERROR(VLOOKUP(D29,Categorias!A:B,2,0)),"",VLOOKUP(D29,Categorias!A:B,2,0))</f>
        <v/>
      </c>
      <c r="F29" s="80"/>
      <c r="G29" s="5"/>
      <c r="H29" s="79">
        <f t="shared" si="0"/>
        <v>0</v>
      </c>
    </row>
    <row r="30" spans="2:8" ht="13.8">
      <c r="B30" s="75"/>
      <c r="C30" s="68"/>
      <c r="D30" s="1"/>
      <c r="E30" s="1" t="str">
        <f>IF(ISERROR(VLOOKUP(D30,Categorias!A:B,2,0)),"",VLOOKUP(D30,Categorias!A:B,2,0))</f>
        <v/>
      </c>
      <c r="F30" s="80"/>
      <c r="G30" s="5"/>
      <c r="H30" s="79">
        <f t="shared" si="0"/>
        <v>0</v>
      </c>
    </row>
    <row r="31" spans="2:8" ht="13.8">
      <c r="B31" s="75"/>
      <c r="C31" s="68"/>
      <c r="D31" s="1"/>
      <c r="E31" s="1" t="str">
        <f>IF(ISERROR(VLOOKUP(D31,Categorias!A:B,2,0)),"",VLOOKUP(D31,Categorias!A:B,2,0))</f>
        <v/>
      </c>
      <c r="F31" s="80"/>
      <c r="G31" s="5"/>
      <c r="H31" s="73">
        <f t="shared" si="0"/>
        <v>0</v>
      </c>
    </row>
    <row r="32" spans="2:8" ht="13.8">
      <c r="B32" s="75"/>
      <c r="C32" s="70"/>
      <c r="D32" s="1"/>
      <c r="E32" s="1" t="str">
        <f>IF(ISERROR(VLOOKUP(D32,Categorias!A:B,2,0)),"",VLOOKUP(D32,Categorias!A:B,2,0))</f>
        <v/>
      </c>
      <c r="F32" s="80"/>
      <c r="G32" s="5"/>
      <c r="H32" s="73">
        <f t="shared" si="0"/>
        <v>0</v>
      </c>
    </row>
    <row r="33" spans="2:8" ht="13.8">
      <c r="B33" s="75"/>
      <c r="C33" s="70"/>
      <c r="D33" s="1"/>
      <c r="E33" s="1" t="str">
        <f>IF(ISERROR(VLOOKUP(D33,Categorias!A:B,2,0)),"",VLOOKUP(D33,Categorias!A:B,2,0))</f>
        <v/>
      </c>
      <c r="F33" s="80"/>
      <c r="G33" s="5"/>
      <c r="H33" s="73">
        <f t="shared" si="0"/>
        <v>0</v>
      </c>
    </row>
    <row r="34" spans="2:8" ht="13.8">
      <c r="B34" s="75"/>
      <c r="C34" s="70"/>
      <c r="D34" s="1"/>
      <c r="E34" s="1" t="str">
        <f>IF(ISERROR(VLOOKUP(D34,Categorias!A:B,2,0)),"",VLOOKUP(D34,Categorias!A:B,2,0))</f>
        <v/>
      </c>
      <c r="F34" s="80"/>
      <c r="G34" s="5"/>
      <c r="H34" s="73">
        <f t="shared" si="0"/>
        <v>0</v>
      </c>
    </row>
    <row r="35" spans="2:8" ht="13.8">
      <c r="B35" s="75"/>
      <c r="C35" s="70"/>
      <c r="D35" s="1"/>
      <c r="E35" s="1" t="str">
        <f>IF(ISERROR(VLOOKUP(D35,Categorias!A:B,2,0)),"",VLOOKUP(D35,Categorias!A:B,2,0))</f>
        <v/>
      </c>
      <c r="F35" s="80"/>
      <c r="G35" s="5"/>
      <c r="H35" s="73">
        <f t="shared" si="0"/>
        <v>0</v>
      </c>
    </row>
    <row r="36" spans="2:8" ht="13.8">
      <c r="B36" s="75"/>
      <c r="C36" s="70"/>
      <c r="D36" s="1"/>
      <c r="E36" s="1" t="str">
        <f>IF(ISERROR(VLOOKUP(D36,Categorias!A:B,2,0)),"",VLOOKUP(D36,Categorias!A:B,2,0))</f>
        <v/>
      </c>
      <c r="F36" s="80"/>
      <c r="G36" s="5"/>
      <c r="H36" s="73">
        <f t="shared" si="0"/>
        <v>0</v>
      </c>
    </row>
    <row r="37" spans="2:8" ht="13.8">
      <c r="B37" s="75"/>
      <c r="C37" s="70"/>
      <c r="D37" s="1"/>
      <c r="E37" s="1" t="str">
        <f>IF(ISERROR(VLOOKUP(D37,Categorias!A:B,2,0)),"",VLOOKUP(D37,Categorias!A:B,2,0))</f>
        <v/>
      </c>
      <c r="F37" s="80"/>
      <c r="G37" s="5"/>
      <c r="H37" s="73">
        <f t="shared" si="0"/>
        <v>0</v>
      </c>
    </row>
    <row r="38" spans="2:8" ht="13.8">
      <c r="B38" s="75"/>
      <c r="C38" s="69"/>
      <c r="D38" s="1"/>
      <c r="E38" s="1" t="str">
        <f>IF(ISERROR(VLOOKUP(D38,Categorias!A:B,2,0)),"",VLOOKUP(D38,Categorias!A:B,2,0))</f>
        <v/>
      </c>
      <c r="F38" s="80"/>
      <c r="G38" s="5"/>
      <c r="H38" s="73">
        <f t="shared" si="0"/>
        <v>0</v>
      </c>
    </row>
    <row r="39" spans="2:8" ht="13.8">
      <c r="B39" s="75"/>
      <c r="C39" s="70"/>
      <c r="D39" s="1"/>
      <c r="E39" s="1" t="str">
        <f>IF(ISERROR(VLOOKUP(D39,Categorias!A:B,2,0)),"",VLOOKUP(D39,Categorias!A:B,2,0))</f>
        <v/>
      </c>
      <c r="F39" s="80"/>
      <c r="G39" s="5"/>
      <c r="H39" s="73">
        <f t="shared" si="0"/>
        <v>0</v>
      </c>
    </row>
    <row r="40" spans="2:8" ht="13.8">
      <c r="B40" s="75"/>
      <c r="C40" s="70"/>
      <c r="D40" s="1"/>
      <c r="E40" s="1" t="str">
        <f>IF(ISERROR(VLOOKUP(D40,Categorias!A:B,2,0)),"",VLOOKUP(D40,Categorias!A:B,2,0))</f>
        <v/>
      </c>
      <c r="F40" s="80"/>
      <c r="G40" s="5"/>
      <c r="H40" s="73">
        <f t="shared" si="0"/>
        <v>0</v>
      </c>
    </row>
    <row r="41" spans="2:8" ht="13.8">
      <c r="B41" s="75"/>
      <c r="C41" s="70"/>
      <c r="D41" s="1"/>
      <c r="E41" s="1" t="str">
        <f>IF(ISERROR(VLOOKUP(D41,Categorias!A:B,2,0)),"",VLOOKUP(D41,Categorias!A:B,2,0))</f>
        <v/>
      </c>
      <c r="F41" s="80"/>
      <c r="G41" s="5"/>
      <c r="H41" s="73">
        <f t="shared" si="0"/>
        <v>0</v>
      </c>
    </row>
    <row r="42" spans="2:8" ht="13.8">
      <c r="B42" s="75"/>
      <c r="C42" s="70"/>
      <c r="D42" s="1"/>
      <c r="E42" s="1" t="str">
        <f>IF(ISERROR(VLOOKUP(D42,Categorias!A:B,2,0)),"",VLOOKUP(D42,Categorias!A:B,2,0))</f>
        <v/>
      </c>
      <c r="F42" s="80"/>
      <c r="G42" s="5"/>
      <c r="H42" s="73">
        <f t="shared" si="0"/>
        <v>0</v>
      </c>
    </row>
    <row r="43" spans="2:8" ht="13.8">
      <c r="B43" s="75"/>
      <c r="C43" s="70"/>
      <c r="D43" s="1"/>
      <c r="E43" s="1" t="str">
        <f>IF(ISERROR(VLOOKUP(D43,Categorias!A:B,2,0)),"",VLOOKUP(D43,Categorias!A:B,2,0))</f>
        <v/>
      </c>
      <c r="F43" s="80"/>
      <c r="G43" s="5"/>
      <c r="H43" s="73">
        <f t="shared" si="0"/>
        <v>0</v>
      </c>
    </row>
    <row r="44" spans="2:8" ht="13.8">
      <c r="B44" s="75"/>
      <c r="D44" s="1"/>
      <c r="E44" s="1"/>
      <c r="F44" s="80"/>
      <c r="G44" s="5"/>
      <c r="H44" s="73">
        <f t="shared" si="0"/>
        <v>0</v>
      </c>
    </row>
    <row r="45" spans="2:8" ht="13.8">
      <c r="B45" s="75"/>
      <c r="D45" s="1"/>
      <c r="E45" s="1" t="str">
        <f>IF(ISERROR(VLOOKUP(D45,Categorias!A:B,2,0)),"",VLOOKUP(D45,Categorias!A:B,2,0))</f>
        <v/>
      </c>
      <c r="F45" s="80"/>
      <c r="G45" s="5"/>
      <c r="H45" s="73">
        <f t="shared" si="0"/>
        <v>0</v>
      </c>
    </row>
    <row r="46" spans="2:8" ht="13.8">
      <c r="B46" s="75"/>
      <c r="D46" s="1"/>
      <c r="E46" s="1" t="str">
        <f>IF(ISERROR(VLOOKUP(D46,Categorias!A:B,2,0)),"",VLOOKUP(D46,Categorias!A:B,2,0))</f>
        <v/>
      </c>
      <c r="F46" s="80"/>
      <c r="G46" s="5"/>
      <c r="H46" s="73">
        <f t="shared" si="0"/>
        <v>0</v>
      </c>
    </row>
    <row r="47" spans="2:8" ht="13.8">
      <c r="B47" s="75"/>
      <c r="D47" s="1"/>
      <c r="E47" s="1" t="str">
        <f>IF(ISERROR(VLOOKUP(D47,Categorias!A:B,2,0)),"",VLOOKUP(D47,Categorias!A:B,2,0))</f>
        <v/>
      </c>
      <c r="F47" s="80"/>
      <c r="G47" s="5"/>
      <c r="H47" s="73">
        <f t="shared" si="0"/>
        <v>0</v>
      </c>
    </row>
    <row r="48" spans="2:8" ht="13.8">
      <c r="B48" s="75"/>
      <c r="D48" s="1"/>
      <c r="E48" s="1" t="str">
        <f>IF(ISERROR(VLOOKUP(D48,Categorias!A:B,2,0)),"",VLOOKUP(D48,Categorias!A:B,2,0))</f>
        <v/>
      </c>
      <c r="F48" s="80"/>
      <c r="G48" s="5"/>
      <c r="H48" s="73">
        <f t="shared" si="0"/>
        <v>0</v>
      </c>
    </row>
    <row r="49" spans="2:8" ht="13.8">
      <c r="B49" s="75"/>
      <c r="D49" s="1"/>
      <c r="E49" s="1" t="str">
        <f>IF(ISERROR(VLOOKUP(D49,Categorias!A:B,2,0)),"",VLOOKUP(D49,Categorias!A:B,2,0))</f>
        <v/>
      </c>
      <c r="F49" s="80"/>
      <c r="G49" s="5"/>
      <c r="H49" s="73">
        <f t="shared" si="0"/>
        <v>0</v>
      </c>
    </row>
    <row r="50" spans="2:8" ht="13.8">
      <c r="B50" s="75"/>
      <c r="D50" s="1"/>
      <c r="E50" s="1" t="str">
        <f>IF(ISERROR(VLOOKUP(D50,Categorias!A:B,2,0)),"",VLOOKUP(D50,Categorias!A:B,2,0))</f>
        <v/>
      </c>
      <c r="F50" s="80"/>
      <c r="G50" s="5"/>
      <c r="H50" s="73">
        <f t="shared" si="0"/>
        <v>0</v>
      </c>
    </row>
    <row r="51" spans="2:8" ht="13.8">
      <c r="B51" s="75"/>
      <c r="D51" s="1"/>
      <c r="E51" s="1" t="str">
        <f>IF(ISERROR(VLOOKUP(D51,Categorias!A:B,2,0)),"",VLOOKUP(D51,Categorias!A:B,2,0))</f>
        <v/>
      </c>
      <c r="F51" s="80"/>
      <c r="G51" s="5"/>
      <c r="H51" s="73">
        <f t="shared" si="0"/>
        <v>0</v>
      </c>
    </row>
    <row r="52" spans="2:8" ht="13.8">
      <c r="B52" s="75"/>
      <c r="D52" s="1"/>
      <c r="E52" s="1" t="str">
        <f>IF(ISERROR(VLOOKUP(D52,Categorias!A:B,2,0)),"",VLOOKUP(D52,Categorias!A:B,2,0))</f>
        <v/>
      </c>
      <c r="F52" s="80"/>
      <c r="G52" s="5"/>
      <c r="H52" s="73">
        <f t="shared" si="0"/>
        <v>0</v>
      </c>
    </row>
    <row r="53" spans="2:8" ht="13.8">
      <c r="B53" s="75"/>
      <c r="D53" s="1"/>
      <c r="E53" s="1" t="str">
        <f>IF(ISERROR(VLOOKUP(D53,Categorias!A:B,2,0)),"",VLOOKUP(D53,Categorias!A:B,2,0))</f>
        <v/>
      </c>
      <c r="F53" s="80"/>
      <c r="G53" s="5"/>
      <c r="H53" s="73">
        <f t="shared" si="0"/>
        <v>0</v>
      </c>
    </row>
    <row r="54" spans="2:8" ht="13.8">
      <c r="B54" s="75"/>
      <c r="D54" s="1"/>
      <c r="E54" s="1" t="str">
        <f>IF(ISERROR(VLOOKUP(D54,Categorias!A:B,2,0)),"",VLOOKUP(D54,Categorias!A:B,2,0))</f>
        <v/>
      </c>
      <c r="F54" s="80"/>
      <c r="G54" s="5"/>
      <c r="H54" s="73">
        <f t="shared" si="0"/>
        <v>0</v>
      </c>
    </row>
    <row r="55" spans="2:8" ht="13.8">
      <c r="B55" s="75"/>
      <c r="D55" s="1"/>
      <c r="E55" s="1" t="str">
        <f>IF(ISERROR(VLOOKUP(D55,Categorias!A:B,2,0)),"",VLOOKUP(D55,Categorias!A:B,2,0))</f>
        <v/>
      </c>
      <c r="F55" s="80"/>
      <c r="G55" s="5"/>
      <c r="H55" s="73">
        <f t="shared" si="0"/>
        <v>0</v>
      </c>
    </row>
    <row r="56" spans="2:8" ht="13.8">
      <c r="B56" s="75"/>
      <c r="D56" s="1"/>
      <c r="E56" s="1" t="str">
        <f>IF(ISERROR(VLOOKUP(D56,Categorias!A:B,2,0)),"",VLOOKUP(D56,Categorias!A:B,2,0))</f>
        <v/>
      </c>
      <c r="F56" s="80"/>
      <c r="G56" s="5"/>
      <c r="H56" s="73">
        <f t="shared" si="0"/>
        <v>0</v>
      </c>
    </row>
    <row r="57" spans="2:8" ht="13.8">
      <c r="B57" s="75"/>
      <c r="D57" s="1"/>
      <c r="E57" s="1" t="str">
        <f>IF(ISERROR(VLOOKUP(D57,Categorias!A:B,2,0)),"",VLOOKUP(D57,Categorias!A:B,2,0))</f>
        <v/>
      </c>
      <c r="F57" s="80"/>
      <c r="G57" s="5"/>
      <c r="H57" s="73">
        <f t="shared" si="0"/>
        <v>0</v>
      </c>
    </row>
    <row r="58" spans="2:8" ht="13.8">
      <c r="D58" s="1"/>
      <c r="E58" s="1" t="str">
        <f>IF(ISERROR(VLOOKUP(D58,Categorias!A:B,2,0)),"",VLOOKUP(D58,Categorias!A:B,2,0))</f>
        <v/>
      </c>
      <c r="F58" s="80"/>
      <c r="G58" s="5"/>
      <c r="H58" s="73">
        <f t="shared" si="0"/>
        <v>0</v>
      </c>
    </row>
    <row r="59" spans="2:8" ht="13.8">
      <c r="D59" s="1"/>
      <c r="E59" s="1" t="str">
        <f>IF(ISERROR(VLOOKUP(D59,Categorias!A:B,2,0)),"",VLOOKUP(D59,Categorias!A:B,2,0))</f>
        <v/>
      </c>
      <c r="F59" s="80"/>
      <c r="G59" s="5"/>
      <c r="H59" s="73">
        <f t="shared" si="0"/>
        <v>0</v>
      </c>
    </row>
    <row r="60" spans="2:8" ht="13.8">
      <c r="D60" s="1"/>
      <c r="E60" s="1" t="str">
        <f>IF(ISERROR(VLOOKUP(D60,Categorias!A:B,2,0)),"",VLOOKUP(D60,Categorias!A:B,2,0))</f>
        <v/>
      </c>
      <c r="F60" s="80"/>
      <c r="G60" s="5"/>
      <c r="H60" s="73">
        <f t="shared" si="0"/>
        <v>0</v>
      </c>
    </row>
    <row r="61" spans="2:8" ht="13.8">
      <c r="D61" s="1"/>
      <c r="E61" s="1" t="str">
        <f>IF(ISERROR(VLOOKUP(D61,Categorias!A:B,2,0)),"",VLOOKUP(D61,Categorias!A:B,2,0))</f>
        <v/>
      </c>
      <c r="F61" s="80"/>
      <c r="G61" s="5"/>
      <c r="H61" s="73">
        <f t="shared" si="0"/>
        <v>0</v>
      </c>
    </row>
    <row r="62" spans="2:8" ht="13.8">
      <c r="D62" s="1"/>
      <c r="E62" s="1" t="str">
        <f>IF(ISERROR(VLOOKUP(D62,Categorias!A:B,2,0)),"",VLOOKUP(D62,Categorias!A:B,2,0))</f>
        <v/>
      </c>
      <c r="F62" s="80"/>
      <c r="G62" s="5"/>
      <c r="H62" s="73">
        <f t="shared" si="0"/>
        <v>0</v>
      </c>
    </row>
    <row r="63" spans="2:8" ht="13.8">
      <c r="D63" s="1"/>
      <c r="E63" s="1" t="str">
        <f>IF(ISERROR(VLOOKUP(D63,Categorias!A:B,2,0)),"",VLOOKUP(D63,Categorias!A:B,2,0))</f>
        <v/>
      </c>
      <c r="F63" s="80"/>
      <c r="G63" s="5"/>
      <c r="H63" s="73">
        <f t="shared" si="0"/>
        <v>0</v>
      </c>
    </row>
    <row r="64" spans="2:8" ht="13.8">
      <c r="D64" s="1"/>
      <c r="E64" s="1" t="str">
        <f>IF(ISERROR(VLOOKUP(D64,Categorias!A:B,2,0)),"",VLOOKUP(D64,Categorias!A:B,2,0))</f>
        <v/>
      </c>
      <c r="F64" s="80"/>
      <c r="G64" s="5"/>
      <c r="H64" s="73">
        <f t="shared" si="0"/>
        <v>0</v>
      </c>
    </row>
    <row r="65" spans="4:8" ht="13.8">
      <c r="D65" s="1"/>
      <c r="E65" s="1" t="str">
        <f>IF(ISERROR(VLOOKUP(D65,Categorias!A:B,2,0)),"",VLOOKUP(D65,Categorias!A:B,2,0))</f>
        <v/>
      </c>
      <c r="F65" s="80"/>
      <c r="G65" s="5"/>
      <c r="H65" s="73">
        <f t="shared" si="0"/>
        <v>0</v>
      </c>
    </row>
    <row r="66" spans="4:8" ht="13.8">
      <c r="D66" s="1"/>
      <c r="E66" s="1" t="str">
        <f>IF(ISERROR(VLOOKUP(D66,Categorias!A:B,2,0)),"",VLOOKUP(D66,Categorias!A:B,2,0))</f>
        <v/>
      </c>
      <c r="F66" s="80"/>
      <c r="G66" s="5"/>
      <c r="H66" s="73">
        <f t="shared" si="0"/>
        <v>0</v>
      </c>
    </row>
    <row r="67" spans="4:8" ht="13.8">
      <c r="D67" s="1"/>
      <c r="E67" s="1" t="str">
        <f>IF(ISERROR(VLOOKUP(D67,Categorias!A:B,2,0)),"",VLOOKUP(D67,Categorias!A:B,2,0))</f>
        <v/>
      </c>
      <c r="F67" s="80"/>
      <c r="G67" s="5"/>
      <c r="H67" s="73">
        <f t="shared" si="0"/>
        <v>0</v>
      </c>
    </row>
    <row r="68" spans="4:8" ht="13.8">
      <c r="D68" s="1"/>
      <c r="E68" s="1" t="str">
        <f>IF(ISERROR(VLOOKUP(D68,Categorias!A:B,2,0)),"",VLOOKUP(D68,Categorias!A:B,2,0))</f>
        <v/>
      </c>
      <c r="F68" s="80"/>
      <c r="G68" s="5"/>
      <c r="H68" s="73">
        <f t="shared" si="0"/>
        <v>0</v>
      </c>
    </row>
    <row r="69" spans="4:8" ht="13.8">
      <c r="D69" s="1"/>
      <c r="E69" s="1" t="str">
        <f>IF(ISERROR(VLOOKUP(D69,Categorias!A:B,2,0)),"",VLOOKUP(D69,Categorias!A:B,2,0))</f>
        <v/>
      </c>
      <c r="F69" s="80"/>
      <c r="G69" s="5"/>
      <c r="H69" s="73">
        <f t="shared" si="0"/>
        <v>0</v>
      </c>
    </row>
    <row r="70" spans="4:8" ht="13.8">
      <c r="D70" s="1"/>
      <c r="E70" s="1" t="str">
        <f>IF(ISERROR(VLOOKUP(D70,Categorias!A:B,2,0)),"",VLOOKUP(D70,Categorias!A:B,2,0))</f>
        <v/>
      </c>
      <c r="F70" s="80"/>
      <c r="G70" s="5"/>
      <c r="H70" s="73">
        <f t="shared" si="0"/>
        <v>0</v>
      </c>
    </row>
    <row r="71" spans="4:8" ht="13.8">
      <c r="D71" s="1"/>
      <c r="E71" s="1" t="str">
        <f>IF(ISERROR(VLOOKUP(D71,Categorias!A:B,2,0)),"",VLOOKUP(D71,Categorias!A:B,2,0))</f>
        <v/>
      </c>
      <c r="F71" s="80"/>
      <c r="G71" s="5"/>
      <c r="H71" s="73">
        <f t="shared" si="0"/>
        <v>0</v>
      </c>
    </row>
    <row r="72" spans="4:8" ht="13.8">
      <c r="D72" s="1"/>
      <c r="E72" s="1" t="str">
        <f>IF(ISERROR(VLOOKUP(D72,Categorias!A:B,2,0)),"",VLOOKUP(D72,Categorias!A:B,2,0))</f>
        <v/>
      </c>
      <c r="F72" s="80"/>
      <c r="G72" s="5"/>
      <c r="H72" s="73">
        <f t="shared" si="0"/>
        <v>0</v>
      </c>
    </row>
    <row r="73" spans="4:8" ht="13.8">
      <c r="D73" s="1"/>
      <c r="E73" s="1" t="str">
        <f>IF(ISERROR(VLOOKUP(D73,Categorias!A:B,2,0)),"",VLOOKUP(D73,Categorias!A:B,2,0))</f>
        <v/>
      </c>
      <c r="F73" s="80"/>
      <c r="G73" s="5"/>
      <c r="H73" s="73">
        <f t="shared" si="0"/>
        <v>0</v>
      </c>
    </row>
    <row r="74" spans="4:8" ht="13.8">
      <c r="D74" s="1"/>
      <c r="E74" s="1" t="str">
        <f>IF(ISERROR(VLOOKUP(D74,Categorias!A:B,2,0)),"",VLOOKUP(D74,Categorias!A:B,2,0))</f>
        <v/>
      </c>
      <c r="F74" s="80"/>
      <c r="G74" s="5"/>
      <c r="H74" s="73">
        <f t="shared" si="0"/>
        <v>0</v>
      </c>
    </row>
    <row r="75" spans="4:8" ht="13.8">
      <c r="D75" s="1"/>
      <c r="E75" s="1" t="str">
        <f>IF(ISERROR(VLOOKUP(D75,Categorias!A:B,2,0)),"",VLOOKUP(D75,Categorias!A:B,2,0))</f>
        <v/>
      </c>
      <c r="F75" s="80"/>
      <c r="G75" s="5"/>
      <c r="H75" s="73">
        <f t="shared" si="0"/>
        <v>0</v>
      </c>
    </row>
    <row r="76" spans="4:8" ht="13.8">
      <c r="D76" s="1"/>
      <c r="E76" s="1" t="str">
        <f>IF(ISERROR(VLOOKUP(D76,Categorias!A:B,2,0)),"",VLOOKUP(D76,Categorias!A:B,2,0))</f>
        <v/>
      </c>
      <c r="F76" s="80"/>
      <c r="G76" s="5"/>
      <c r="H76" s="73">
        <f t="shared" si="0"/>
        <v>0</v>
      </c>
    </row>
    <row r="77" spans="4:8" ht="13.8">
      <c r="D77" s="1"/>
      <c r="E77" s="1" t="str">
        <f>IF(ISERROR(VLOOKUP(D77,Categorias!A:B,2,0)),"",VLOOKUP(D77,Categorias!A:B,2,0))</f>
        <v/>
      </c>
      <c r="F77" s="80"/>
      <c r="G77" s="5"/>
      <c r="H77" s="73">
        <f t="shared" si="0"/>
        <v>0</v>
      </c>
    </row>
    <row r="78" spans="4:8" ht="13.8">
      <c r="D78" s="1"/>
      <c r="E78" s="1" t="str">
        <f>IF(ISERROR(VLOOKUP(D78,Categorias!A:B,2,0)),"",VLOOKUP(D78,Categorias!A:B,2,0))</f>
        <v/>
      </c>
      <c r="F78" s="80"/>
      <c r="G78" s="5"/>
      <c r="H78" s="73">
        <f t="shared" ref="H78:H141" si="1">H77+F78-G78</f>
        <v>0</v>
      </c>
    </row>
    <row r="79" spans="4:8" ht="13.8">
      <c r="D79" s="1"/>
      <c r="E79" s="1" t="str">
        <f>IF(ISERROR(VLOOKUP(D79,Categorias!A:B,2,0)),"",VLOOKUP(D79,Categorias!A:B,2,0))</f>
        <v/>
      </c>
      <c r="F79" s="80"/>
      <c r="G79" s="5"/>
      <c r="H79" s="73">
        <f t="shared" si="1"/>
        <v>0</v>
      </c>
    </row>
    <row r="80" spans="4:8" ht="13.8">
      <c r="D80" s="1"/>
      <c r="E80" s="1" t="str">
        <f>IF(ISERROR(VLOOKUP(D80,Categorias!A:B,2,0)),"",VLOOKUP(D80,Categorias!A:B,2,0))</f>
        <v/>
      </c>
      <c r="F80" s="80"/>
      <c r="G80" s="5"/>
      <c r="H80" s="73">
        <f t="shared" si="1"/>
        <v>0</v>
      </c>
    </row>
    <row r="81" spans="4:8" ht="13.8">
      <c r="D81" s="1"/>
      <c r="E81" s="1" t="str">
        <f>IF(ISERROR(VLOOKUP(D81,Categorias!A:B,2,0)),"",VLOOKUP(D81,Categorias!A:B,2,0))</f>
        <v/>
      </c>
      <c r="F81" s="80"/>
      <c r="G81" s="5"/>
      <c r="H81" s="73">
        <f t="shared" si="1"/>
        <v>0</v>
      </c>
    </row>
    <row r="82" spans="4:8" ht="13.8">
      <c r="D82" s="1"/>
      <c r="E82" s="1" t="str">
        <f>IF(ISERROR(VLOOKUP(D82,Categorias!A:B,2,0)),"",VLOOKUP(D82,Categorias!A:B,2,0))</f>
        <v/>
      </c>
      <c r="F82" s="80"/>
      <c r="G82" s="5"/>
      <c r="H82" s="73">
        <f t="shared" si="1"/>
        <v>0</v>
      </c>
    </row>
    <row r="83" spans="4:8" ht="13.8">
      <c r="D83" s="1"/>
      <c r="E83" s="1" t="str">
        <f>IF(ISERROR(VLOOKUP(D83,Categorias!A:B,2,0)),"",VLOOKUP(D83,Categorias!A:B,2,0))</f>
        <v/>
      </c>
      <c r="F83" s="80"/>
      <c r="G83" s="5"/>
      <c r="H83" s="73">
        <f t="shared" si="1"/>
        <v>0</v>
      </c>
    </row>
    <row r="84" spans="4:8" ht="13.8">
      <c r="D84" s="1"/>
      <c r="E84" s="1" t="str">
        <f>IF(ISERROR(VLOOKUP(D84,Categorias!A:B,2,0)),"",VLOOKUP(D84,Categorias!A:B,2,0))</f>
        <v/>
      </c>
      <c r="F84" s="80"/>
      <c r="G84" s="5"/>
      <c r="H84" s="73">
        <f t="shared" si="1"/>
        <v>0</v>
      </c>
    </row>
    <row r="85" spans="4:8" ht="13.8">
      <c r="D85" s="1"/>
      <c r="E85" s="1" t="str">
        <f>IF(ISERROR(VLOOKUP(D85,Categorias!A:B,2,0)),"",VLOOKUP(D85,Categorias!A:B,2,0))</f>
        <v/>
      </c>
      <c r="F85" s="80"/>
      <c r="G85" s="5"/>
      <c r="H85" s="73">
        <f t="shared" si="1"/>
        <v>0</v>
      </c>
    </row>
    <row r="86" spans="4:8" ht="13.8">
      <c r="D86" s="1"/>
      <c r="E86" s="1" t="str">
        <f>IF(ISERROR(VLOOKUP(D86,Categorias!A:B,2,0)),"",VLOOKUP(D86,Categorias!A:B,2,0))</f>
        <v/>
      </c>
      <c r="F86" s="80"/>
      <c r="G86" s="5"/>
      <c r="H86" s="73">
        <f t="shared" si="1"/>
        <v>0</v>
      </c>
    </row>
    <row r="87" spans="4:8" ht="13.8">
      <c r="D87" s="1"/>
      <c r="E87" s="1" t="str">
        <f>IF(ISERROR(VLOOKUP(D87,Categorias!A:B,2,0)),"",VLOOKUP(D87,Categorias!A:B,2,0))</f>
        <v/>
      </c>
      <c r="F87" s="80"/>
      <c r="G87" s="5"/>
      <c r="H87" s="73">
        <f t="shared" si="1"/>
        <v>0</v>
      </c>
    </row>
    <row r="88" spans="4:8" ht="13.8">
      <c r="D88" s="1"/>
      <c r="E88" s="1" t="str">
        <f>IF(ISERROR(VLOOKUP(D88,Categorias!A:B,2,0)),"",VLOOKUP(D88,Categorias!A:B,2,0))</f>
        <v/>
      </c>
      <c r="F88" s="80"/>
      <c r="G88" s="5"/>
      <c r="H88" s="73">
        <f t="shared" si="1"/>
        <v>0</v>
      </c>
    </row>
    <row r="89" spans="4:8" ht="13.8">
      <c r="D89" s="1"/>
      <c r="E89" s="1" t="str">
        <f>IF(ISERROR(VLOOKUP(D89,Categorias!A:B,2,0)),"",VLOOKUP(D89,Categorias!A:B,2,0))</f>
        <v/>
      </c>
      <c r="F89" s="80"/>
      <c r="G89" s="5"/>
      <c r="H89" s="73">
        <f t="shared" si="1"/>
        <v>0</v>
      </c>
    </row>
    <row r="90" spans="4:8" ht="13.8">
      <c r="D90" s="1"/>
      <c r="E90" s="1" t="str">
        <f>IF(ISERROR(VLOOKUP(D90,Categorias!A:B,2,0)),"",VLOOKUP(D90,Categorias!A:B,2,0))</f>
        <v/>
      </c>
      <c r="F90" s="80"/>
      <c r="G90" s="5"/>
      <c r="H90" s="73">
        <f t="shared" si="1"/>
        <v>0</v>
      </c>
    </row>
    <row r="91" spans="4:8" ht="13.8">
      <c r="D91" s="1"/>
      <c r="E91" s="1" t="str">
        <f>IF(ISERROR(VLOOKUP(D91,Categorias!A:B,2,0)),"",VLOOKUP(D91,Categorias!A:B,2,0))</f>
        <v/>
      </c>
      <c r="F91" s="80"/>
      <c r="G91" s="5"/>
      <c r="H91" s="73">
        <f t="shared" si="1"/>
        <v>0</v>
      </c>
    </row>
    <row r="92" spans="4:8" ht="13.8">
      <c r="D92" s="1"/>
      <c r="E92" s="1" t="str">
        <f>IF(ISERROR(VLOOKUP(D92,Categorias!A:B,2,0)),"",VLOOKUP(D92,Categorias!A:B,2,0))</f>
        <v/>
      </c>
      <c r="F92" s="80"/>
      <c r="G92" s="5"/>
      <c r="H92" s="73">
        <f t="shared" si="1"/>
        <v>0</v>
      </c>
    </row>
    <row r="93" spans="4:8" ht="13.8">
      <c r="D93" s="1"/>
      <c r="E93" s="1" t="str">
        <f>IF(ISERROR(VLOOKUP(D93,Categorias!A:B,2,0)),"",VLOOKUP(D93,Categorias!A:B,2,0))</f>
        <v/>
      </c>
      <c r="F93" s="80"/>
      <c r="G93" s="5"/>
      <c r="H93" s="73">
        <f t="shared" si="1"/>
        <v>0</v>
      </c>
    </row>
    <row r="94" spans="4:8" ht="13.8">
      <c r="D94" s="1"/>
      <c r="E94" s="1" t="str">
        <f>IF(ISERROR(VLOOKUP(D94,Categorias!A:B,2,0)),"",VLOOKUP(D94,Categorias!A:B,2,0))</f>
        <v/>
      </c>
      <c r="F94" s="80"/>
      <c r="G94" s="5"/>
      <c r="H94" s="73">
        <f t="shared" si="1"/>
        <v>0</v>
      </c>
    </row>
    <row r="95" spans="4:8" ht="13.8">
      <c r="D95" s="1"/>
      <c r="E95" s="1" t="str">
        <f>IF(ISERROR(VLOOKUP(D95,Categorias!A:B,2,0)),"",VLOOKUP(D95,Categorias!A:B,2,0))</f>
        <v/>
      </c>
      <c r="F95" s="80"/>
      <c r="G95" s="5"/>
      <c r="H95" s="73">
        <f t="shared" si="1"/>
        <v>0</v>
      </c>
    </row>
    <row r="96" spans="4:8" ht="13.8">
      <c r="D96" s="1"/>
      <c r="E96" s="1" t="str">
        <f>IF(ISERROR(VLOOKUP(D96,Categorias!A:B,2,0)),"",VLOOKUP(D96,Categorias!A:B,2,0))</f>
        <v/>
      </c>
      <c r="F96" s="80"/>
      <c r="G96" s="5"/>
      <c r="H96" s="73">
        <f t="shared" si="1"/>
        <v>0</v>
      </c>
    </row>
    <row r="97" spans="4:8" ht="13.8">
      <c r="D97" s="1"/>
      <c r="E97" s="1" t="str">
        <f>IF(ISERROR(VLOOKUP(D97,Categorias!A:B,2,0)),"",VLOOKUP(D97,Categorias!A:B,2,0))</f>
        <v/>
      </c>
      <c r="F97" s="80"/>
      <c r="G97" s="5"/>
      <c r="H97" s="73">
        <f t="shared" si="1"/>
        <v>0</v>
      </c>
    </row>
    <row r="98" spans="4:8" ht="13.8">
      <c r="D98" s="1"/>
      <c r="E98" s="1" t="str">
        <f>IF(ISERROR(VLOOKUP(D98,Categorias!A:B,2,0)),"",VLOOKUP(D98,Categorias!A:B,2,0))</f>
        <v/>
      </c>
      <c r="F98" s="80"/>
      <c r="G98" s="5"/>
      <c r="H98" s="73">
        <f t="shared" si="1"/>
        <v>0</v>
      </c>
    </row>
    <row r="99" spans="4:8" ht="13.8">
      <c r="D99" s="1"/>
      <c r="E99" s="1" t="str">
        <f>IF(ISERROR(VLOOKUP(D99,Categorias!A:B,2,0)),"",VLOOKUP(D99,Categorias!A:B,2,0))</f>
        <v/>
      </c>
      <c r="F99" s="80"/>
      <c r="G99" s="5"/>
      <c r="H99" s="73">
        <f t="shared" si="1"/>
        <v>0</v>
      </c>
    </row>
    <row r="100" spans="4:8" ht="13.8">
      <c r="D100" s="1"/>
      <c r="E100" s="1" t="str">
        <f>IF(ISERROR(VLOOKUP(D100,Categorias!A:B,2,0)),"",VLOOKUP(D100,Categorias!A:B,2,0))</f>
        <v/>
      </c>
      <c r="F100" s="80"/>
      <c r="G100" s="5"/>
      <c r="H100" s="73">
        <f t="shared" si="1"/>
        <v>0</v>
      </c>
    </row>
    <row r="101" spans="4:8" ht="13.8">
      <c r="D101" s="1"/>
      <c r="E101" s="1" t="str">
        <f>IF(ISERROR(VLOOKUP(D101,Categorias!A:B,2,0)),"",VLOOKUP(D101,Categorias!A:B,2,0))</f>
        <v/>
      </c>
      <c r="F101" s="80"/>
      <c r="G101" s="5"/>
      <c r="H101" s="73">
        <f t="shared" si="1"/>
        <v>0</v>
      </c>
    </row>
    <row r="102" spans="4:8" ht="13.8">
      <c r="D102" s="1"/>
      <c r="E102" s="1" t="str">
        <f>IF(ISERROR(VLOOKUP(D102,Categorias!A:B,2,0)),"",VLOOKUP(D102,Categorias!A:B,2,0))</f>
        <v/>
      </c>
      <c r="F102" s="80"/>
      <c r="G102" s="5"/>
      <c r="H102" s="73">
        <f t="shared" si="1"/>
        <v>0</v>
      </c>
    </row>
    <row r="103" spans="4:8" ht="13.8">
      <c r="D103" s="1"/>
      <c r="E103" s="1" t="str">
        <f>IF(ISERROR(VLOOKUP(D103,Categorias!A:B,2,0)),"",VLOOKUP(D103,Categorias!A:B,2,0))</f>
        <v/>
      </c>
      <c r="F103" s="80"/>
      <c r="G103" s="5"/>
      <c r="H103" s="73">
        <f t="shared" si="1"/>
        <v>0</v>
      </c>
    </row>
    <row r="104" spans="4:8" ht="13.8">
      <c r="D104" s="1"/>
      <c r="E104" s="1" t="str">
        <f>IF(ISERROR(VLOOKUP(D104,Categorias!A:B,2,0)),"",VLOOKUP(D104,Categorias!A:B,2,0))</f>
        <v/>
      </c>
      <c r="F104" s="80"/>
      <c r="G104" s="5"/>
      <c r="H104" s="73">
        <f t="shared" si="1"/>
        <v>0</v>
      </c>
    </row>
    <row r="105" spans="4:8" ht="13.8">
      <c r="D105" s="1"/>
      <c r="E105" s="1" t="str">
        <f>IF(ISERROR(VLOOKUP(D105,Categorias!A:B,2,0)),"",VLOOKUP(D105,Categorias!A:B,2,0))</f>
        <v/>
      </c>
      <c r="F105" s="80"/>
      <c r="G105" s="5"/>
      <c r="H105" s="73">
        <f t="shared" si="1"/>
        <v>0</v>
      </c>
    </row>
    <row r="106" spans="4:8" ht="13.8">
      <c r="D106" s="1"/>
      <c r="E106" s="1" t="str">
        <f>IF(ISERROR(VLOOKUP(D106,Categorias!A:B,2,0)),"",VLOOKUP(D106,Categorias!A:B,2,0))</f>
        <v/>
      </c>
      <c r="F106" s="80"/>
      <c r="G106" s="5"/>
      <c r="H106" s="73">
        <f t="shared" si="1"/>
        <v>0</v>
      </c>
    </row>
    <row r="107" spans="4:8" ht="13.8">
      <c r="D107" s="1"/>
      <c r="E107" s="1" t="str">
        <f>IF(ISERROR(VLOOKUP(D107,Categorias!A:B,2,0)),"",VLOOKUP(D107,Categorias!A:B,2,0))</f>
        <v/>
      </c>
      <c r="F107" s="80"/>
      <c r="G107" s="5"/>
      <c r="H107" s="73">
        <f t="shared" si="1"/>
        <v>0</v>
      </c>
    </row>
    <row r="108" spans="4:8" ht="13.8">
      <c r="D108" s="1"/>
      <c r="E108" s="1" t="str">
        <f>IF(ISERROR(VLOOKUP(D108,Categorias!A:B,2,0)),"",VLOOKUP(D108,Categorias!A:B,2,0))</f>
        <v/>
      </c>
      <c r="F108" s="80"/>
      <c r="G108" s="5"/>
      <c r="H108" s="73">
        <f t="shared" si="1"/>
        <v>0</v>
      </c>
    </row>
    <row r="109" spans="4:8" ht="13.8">
      <c r="D109" s="1"/>
      <c r="E109" s="1" t="str">
        <f>IF(ISERROR(VLOOKUP(D109,Categorias!A:B,2,0)),"",VLOOKUP(D109,Categorias!A:B,2,0))</f>
        <v/>
      </c>
      <c r="F109" s="80"/>
      <c r="G109" s="5"/>
      <c r="H109" s="73">
        <f t="shared" si="1"/>
        <v>0</v>
      </c>
    </row>
    <row r="110" spans="4:8" ht="13.8">
      <c r="D110" s="1"/>
      <c r="E110" s="1" t="str">
        <f>IF(ISERROR(VLOOKUP(D110,Categorias!A:B,2,0)),"",VLOOKUP(D110,Categorias!A:B,2,0))</f>
        <v/>
      </c>
      <c r="F110" s="80"/>
      <c r="G110" s="5"/>
      <c r="H110" s="73">
        <f t="shared" si="1"/>
        <v>0</v>
      </c>
    </row>
    <row r="111" spans="4:8" ht="13.8">
      <c r="D111" s="1"/>
      <c r="E111" s="1" t="str">
        <f>IF(ISERROR(VLOOKUP(D111,Categorias!A:B,2,0)),"",VLOOKUP(D111,Categorias!A:B,2,0))</f>
        <v/>
      </c>
      <c r="F111" s="80"/>
      <c r="G111" s="5"/>
      <c r="H111" s="73">
        <f t="shared" si="1"/>
        <v>0</v>
      </c>
    </row>
    <row r="112" spans="4:8" ht="13.8">
      <c r="D112" s="1"/>
      <c r="E112" s="1" t="str">
        <f>IF(ISERROR(VLOOKUP(D112,Categorias!A:B,2,0)),"",VLOOKUP(D112,Categorias!A:B,2,0))</f>
        <v/>
      </c>
      <c r="F112" s="80"/>
      <c r="G112" s="5"/>
      <c r="H112" s="73">
        <f t="shared" si="1"/>
        <v>0</v>
      </c>
    </row>
    <row r="113" spans="4:8" ht="13.8">
      <c r="D113" s="1"/>
      <c r="E113" s="1" t="str">
        <f>IF(ISERROR(VLOOKUP(D113,Categorias!A:B,2,0)),"",VLOOKUP(D113,Categorias!A:B,2,0))</f>
        <v/>
      </c>
      <c r="F113" s="80"/>
      <c r="G113" s="5"/>
      <c r="H113" s="73">
        <f t="shared" si="1"/>
        <v>0</v>
      </c>
    </row>
    <row r="114" spans="4:8" ht="13.8">
      <c r="D114" s="1"/>
      <c r="E114" s="1" t="str">
        <f>IF(ISERROR(VLOOKUP(D114,Categorias!A:B,2,0)),"",VLOOKUP(D114,Categorias!A:B,2,0))</f>
        <v/>
      </c>
      <c r="F114" s="80"/>
      <c r="G114" s="5"/>
      <c r="H114" s="73">
        <f t="shared" si="1"/>
        <v>0</v>
      </c>
    </row>
    <row r="115" spans="4:8" ht="13.8">
      <c r="D115" s="1"/>
      <c r="E115" s="1" t="str">
        <f>IF(ISERROR(VLOOKUP(D115,Categorias!A:B,2,0)),"",VLOOKUP(D115,Categorias!A:B,2,0))</f>
        <v/>
      </c>
      <c r="F115" s="80"/>
      <c r="G115" s="5"/>
      <c r="H115" s="73">
        <f t="shared" si="1"/>
        <v>0</v>
      </c>
    </row>
    <row r="116" spans="4:8" ht="13.8">
      <c r="D116" s="1"/>
      <c r="E116" s="1" t="str">
        <f>IF(ISERROR(VLOOKUP(D116,Categorias!A:B,2,0)),"",VLOOKUP(D116,Categorias!A:B,2,0))</f>
        <v/>
      </c>
      <c r="F116" s="80"/>
      <c r="G116" s="5"/>
      <c r="H116" s="73">
        <f t="shared" si="1"/>
        <v>0</v>
      </c>
    </row>
    <row r="117" spans="4:8" ht="13.8">
      <c r="D117" s="1"/>
      <c r="E117" s="1" t="str">
        <f>IF(ISERROR(VLOOKUP(D117,Categorias!A:B,2,0)),"",VLOOKUP(D117,Categorias!A:B,2,0))</f>
        <v/>
      </c>
      <c r="F117" s="80"/>
      <c r="G117" s="5"/>
      <c r="H117" s="73">
        <f t="shared" si="1"/>
        <v>0</v>
      </c>
    </row>
    <row r="118" spans="4:8" ht="13.8">
      <c r="D118" s="1"/>
      <c r="E118" s="1" t="str">
        <f>IF(ISERROR(VLOOKUP(D118,Categorias!A:B,2,0)),"",VLOOKUP(D118,Categorias!A:B,2,0))</f>
        <v/>
      </c>
      <c r="F118" s="80"/>
      <c r="G118" s="5"/>
      <c r="H118" s="73">
        <f t="shared" si="1"/>
        <v>0</v>
      </c>
    </row>
    <row r="119" spans="4:8" ht="13.8">
      <c r="D119" s="1"/>
      <c r="E119" s="1" t="str">
        <f>IF(ISERROR(VLOOKUP(D119,Categorias!A:B,2,0)),"",VLOOKUP(D119,Categorias!A:B,2,0))</f>
        <v/>
      </c>
      <c r="F119" s="80"/>
      <c r="G119" s="5"/>
      <c r="H119" s="73">
        <f t="shared" si="1"/>
        <v>0</v>
      </c>
    </row>
    <row r="120" spans="4:8" ht="13.8">
      <c r="D120" s="1"/>
      <c r="E120" s="1" t="str">
        <f>IF(ISERROR(VLOOKUP(D120,Categorias!A:B,2,0)),"",VLOOKUP(D120,Categorias!A:B,2,0))</f>
        <v/>
      </c>
      <c r="F120" s="80"/>
      <c r="G120" s="5"/>
      <c r="H120" s="73">
        <f t="shared" si="1"/>
        <v>0</v>
      </c>
    </row>
    <row r="121" spans="4:8" ht="13.8">
      <c r="D121" s="1"/>
      <c r="E121" s="1" t="str">
        <f>IF(ISERROR(VLOOKUP(D121,Categorias!A:B,2,0)),"",VLOOKUP(D121,Categorias!A:B,2,0))</f>
        <v/>
      </c>
      <c r="F121" s="80"/>
      <c r="G121" s="5"/>
      <c r="H121" s="73">
        <f t="shared" si="1"/>
        <v>0</v>
      </c>
    </row>
    <row r="122" spans="4:8" ht="13.8">
      <c r="D122" s="1"/>
      <c r="E122" s="1" t="str">
        <f>IF(ISERROR(VLOOKUP(D122,Categorias!A:B,2,0)),"",VLOOKUP(D122,Categorias!A:B,2,0))</f>
        <v/>
      </c>
      <c r="F122" s="80"/>
      <c r="G122" s="5"/>
      <c r="H122" s="73">
        <f t="shared" si="1"/>
        <v>0</v>
      </c>
    </row>
    <row r="123" spans="4:8" ht="13.8">
      <c r="D123" s="1"/>
      <c r="E123" s="1" t="str">
        <f>IF(ISERROR(VLOOKUP(D123,Categorias!A:B,2,0)),"",VLOOKUP(D123,Categorias!A:B,2,0))</f>
        <v/>
      </c>
      <c r="F123" s="80"/>
      <c r="G123" s="5"/>
      <c r="H123" s="73">
        <f t="shared" si="1"/>
        <v>0</v>
      </c>
    </row>
    <row r="124" spans="4:8" ht="13.8">
      <c r="D124" s="1"/>
      <c r="E124" s="1" t="str">
        <f>IF(ISERROR(VLOOKUP(D124,Categorias!A:B,2,0)),"",VLOOKUP(D124,Categorias!A:B,2,0))</f>
        <v/>
      </c>
      <c r="F124" s="80"/>
      <c r="G124" s="5"/>
      <c r="H124" s="73">
        <f t="shared" si="1"/>
        <v>0</v>
      </c>
    </row>
    <row r="125" spans="4:8" ht="13.8">
      <c r="D125" s="1"/>
      <c r="E125" s="1" t="str">
        <f>IF(ISERROR(VLOOKUP(D125,Categorias!A:B,2,0)),"",VLOOKUP(D125,Categorias!A:B,2,0))</f>
        <v/>
      </c>
      <c r="F125" s="80"/>
      <c r="G125" s="5"/>
      <c r="H125" s="73">
        <f t="shared" si="1"/>
        <v>0</v>
      </c>
    </row>
    <row r="126" spans="4:8" ht="13.8">
      <c r="D126" s="1"/>
      <c r="E126" s="1" t="str">
        <f>IF(ISERROR(VLOOKUP(D126,Categorias!A:B,2,0)),"",VLOOKUP(D126,Categorias!A:B,2,0))</f>
        <v/>
      </c>
      <c r="F126" s="80"/>
      <c r="G126" s="5"/>
      <c r="H126" s="73">
        <f t="shared" si="1"/>
        <v>0</v>
      </c>
    </row>
    <row r="127" spans="4:8" ht="13.8">
      <c r="D127" s="1"/>
      <c r="E127" s="1" t="str">
        <f>IF(ISERROR(VLOOKUP(D127,Categorias!A:B,2,0)),"",VLOOKUP(D127,Categorias!A:B,2,0))</f>
        <v/>
      </c>
      <c r="F127" s="80"/>
      <c r="G127" s="5"/>
      <c r="H127" s="73">
        <f t="shared" si="1"/>
        <v>0</v>
      </c>
    </row>
    <row r="128" spans="4:8" ht="13.8">
      <c r="D128" s="1"/>
      <c r="E128" s="1" t="str">
        <f>IF(ISERROR(VLOOKUP(D128,Categorias!A:B,2,0)),"",VLOOKUP(D128,Categorias!A:B,2,0))</f>
        <v/>
      </c>
      <c r="F128" s="80"/>
      <c r="G128" s="5"/>
      <c r="H128" s="73">
        <f t="shared" si="1"/>
        <v>0</v>
      </c>
    </row>
    <row r="129" spans="4:8" ht="13.8">
      <c r="D129" s="1"/>
      <c r="E129" s="1" t="str">
        <f>IF(ISERROR(VLOOKUP(D129,Categorias!A:B,2,0)),"",VLOOKUP(D129,Categorias!A:B,2,0))</f>
        <v/>
      </c>
      <c r="F129" s="80"/>
      <c r="G129" s="5"/>
      <c r="H129" s="73">
        <f t="shared" si="1"/>
        <v>0</v>
      </c>
    </row>
    <row r="130" spans="4:8" ht="13.8">
      <c r="D130" s="1"/>
      <c r="E130" s="1" t="str">
        <f>IF(ISERROR(VLOOKUP(D130,Categorias!A:B,2,0)),"",VLOOKUP(D130,Categorias!A:B,2,0))</f>
        <v/>
      </c>
      <c r="F130" s="80"/>
      <c r="G130" s="5"/>
      <c r="H130" s="73">
        <f t="shared" si="1"/>
        <v>0</v>
      </c>
    </row>
    <row r="131" spans="4:8" ht="13.8">
      <c r="D131" s="1"/>
      <c r="E131" s="1" t="str">
        <f>IF(ISERROR(VLOOKUP(D131,Categorias!A:B,2,0)),"",VLOOKUP(D131,Categorias!A:B,2,0))</f>
        <v/>
      </c>
      <c r="F131" s="80"/>
      <c r="G131" s="5"/>
      <c r="H131" s="73">
        <f t="shared" si="1"/>
        <v>0</v>
      </c>
    </row>
    <row r="132" spans="4:8" ht="13.8">
      <c r="D132" s="1"/>
      <c r="E132" s="1" t="str">
        <f>IF(ISERROR(VLOOKUP(D132,Categorias!A:B,2,0)),"",VLOOKUP(D132,Categorias!A:B,2,0))</f>
        <v/>
      </c>
      <c r="F132" s="80"/>
      <c r="G132" s="5"/>
      <c r="H132" s="73">
        <f t="shared" si="1"/>
        <v>0</v>
      </c>
    </row>
    <row r="133" spans="4:8" ht="13.8">
      <c r="D133" s="1"/>
      <c r="E133" s="1" t="str">
        <f>IF(ISERROR(VLOOKUP(D133,Categorias!A:B,2,0)),"",VLOOKUP(D133,Categorias!A:B,2,0))</f>
        <v/>
      </c>
      <c r="F133" s="80"/>
      <c r="G133" s="5"/>
      <c r="H133" s="73">
        <f t="shared" si="1"/>
        <v>0</v>
      </c>
    </row>
    <row r="134" spans="4:8" ht="13.8">
      <c r="D134" s="1"/>
      <c r="E134" s="1" t="str">
        <f>IF(ISERROR(VLOOKUP(D134,Categorias!A:B,2,0)),"",VLOOKUP(D134,Categorias!A:B,2,0))</f>
        <v/>
      </c>
      <c r="F134" s="80"/>
      <c r="G134" s="5"/>
      <c r="H134" s="73">
        <f t="shared" si="1"/>
        <v>0</v>
      </c>
    </row>
    <row r="135" spans="4:8" ht="13.8">
      <c r="D135" s="1"/>
      <c r="E135" s="1" t="str">
        <f>IF(ISERROR(VLOOKUP(D135,Categorias!A:B,2,0)),"",VLOOKUP(D135,Categorias!A:B,2,0))</f>
        <v/>
      </c>
      <c r="F135" s="80"/>
      <c r="G135" s="5"/>
      <c r="H135" s="73">
        <f t="shared" si="1"/>
        <v>0</v>
      </c>
    </row>
    <row r="136" spans="4:8" ht="13.8">
      <c r="D136" s="1"/>
      <c r="E136" s="1" t="str">
        <f>IF(ISERROR(VLOOKUP(D136,Categorias!A:B,2,0)),"",VLOOKUP(D136,Categorias!A:B,2,0))</f>
        <v/>
      </c>
      <c r="F136" s="80"/>
      <c r="G136" s="5"/>
      <c r="H136" s="73">
        <f t="shared" si="1"/>
        <v>0</v>
      </c>
    </row>
    <row r="137" spans="4:8" ht="13.8">
      <c r="D137" s="1"/>
      <c r="E137" s="1" t="str">
        <f>IF(ISERROR(VLOOKUP(D137,Categorias!A:B,2,0)),"",VLOOKUP(D137,Categorias!A:B,2,0))</f>
        <v/>
      </c>
      <c r="F137" s="80"/>
      <c r="G137" s="5"/>
      <c r="H137" s="73">
        <f t="shared" si="1"/>
        <v>0</v>
      </c>
    </row>
    <row r="138" spans="4:8" ht="13.8">
      <c r="D138" s="1"/>
      <c r="E138" s="1" t="str">
        <f>IF(ISERROR(VLOOKUP(D138,Categorias!A:B,2,0)),"",VLOOKUP(D138,Categorias!A:B,2,0))</f>
        <v/>
      </c>
      <c r="F138" s="80"/>
      <c r="G138" s="5"/>
      <c r="H138" s="73">
        <f t="shared" si="1"/>
        <v>0</v>
      </c>
    </row>
    <row r="139" spans="4:8" ht="13.8">
      <c r="D139" s="1"/>
      <c r="E139" s="1" t="str">
        <f>IF(ISERROR(VLOOKUP(D139,Categorias!A:B,2,0)),"",VLOOKUP(D139,Categorias!A:B,2,0))</f>
        <v/>
      </c>
      <c r="F139" s="80"/>
      <c r="G139" s="5"/>
      <c r="H139" s="73">
        <f t="shared" si="1"/>
        <v>0</v>
      </c>
    </row>
    <row r="140" spans="4:8" ht="13.8">
      <c r="D140" s="1"/>
      <c r="E140" s="1" t="str">
        <f>IF(ISERROR(VLOOKUP(D140,Categorias!A:B,2,0)),"",VLOOKUP(D140,Categorias!A:B,2,0))</f>
        <v/>
      </c>
      <c r="F140" s="80"/>
      <c r="G140" s="5"/>
      <c r="H140" s="73">
        <f t="shared" si="1"/>
        <v>0</v>
      </c>
    </row>
    <row r="141" spans="4:8" ht="13.8">
      <c r="D141" s="1"/>
      <c r="E141" s="1" t="str">
        <f>IF(ISERROR(VLOOKUP(D141,Categorias!A:B,2,0)),"",VLOOKUP(D141,Categorias!A:B,2,0))</f>
        <v/>
      </c>
      <c r="F141" s="80"/>
      <c r="G141" s="5"/>
      <c r="H141" s="73">
        <f t="shared" si="1"/>
        <v>0</v>
      </c>
    </row>
    <row r="142" spans="4:8" ht="13.8">
      <c r="D142" s="1"/>
      <c r="E142" s="1" t="str">
        <f>IF(ISERROR(VLOOKUP(D142,Categorias!A:B,2,0)),"",VLOOKUP(D142,Categorias!A:B,2,0))</f>
        <v/>
      </c>
      <c r="F142" s="80"/>
      <c r="G142" s="5"/>
      <c r="H142" s="73">
        <f t="shared" ref="H142:H205" si="2">H141+F142-G142</f>
        <v>0</v>
      </c>
    </row>
    <row r="143" spans="4:8" ht="13.8">
      <c r="D143" s="1"/>
      <c r="E143" s="1" t="str">
        <f>IF(ISERROR(VLOOKUP(D143,Categorias!A:B,2,0)),"",VLOOKUP(D143,Categorias!A:B,2,0))</f>
        <v/>
      </c>
      <c r="F143" s="80"/>
      <c r="G143" s="5"/>
      <c r="H143" s="73">
        <f t="shared" si="2"/>
        <v>0</v>
      </c>
    </row>
    <row r="144" spans="4:8" ht="13.8">
      <c r="D144" s="1"/>
      <c r="E144" s="1" t="str">
        <f>IF(ISERROR(VLOOKUP(D144,Categorias!A:B,2,0)),"",VLOOKUP(D144,Categorias!A:B,2,0))</f>
        <v/>
      </c>
      <c r="F144" s="80"/>
      <c r="G144" s="5"/>
      <c r="H144" s="73">
        <f t="shared" si="2"/>
        <v>0</v>
      </c>
    </row>
    <row r="145" spans="4:8" ht="13.8">
      <c r="D145" s="1"/>
      <c r="E145" s="1" t="str">
        <f>IF(ISERROR(VLOOKUP(D145,Categorias!A:B,2,0)),"",VLOOKUP(D145,Categorias!A:B,2,0))</f>
        <v/>
      </c>
      <c r="F145" s="80"/>
      <c r="G145" s="5"/>
      <c r="H145" s="73">
        <f t="shared" si="2"/>
        <v>0</v>
      </c>
    </row>
    <row r="146" spans="4:8" ht="13.8">
      <c r="D146" s="1"/>
      <c r="E146" s="1" t="str">
        <f>IF(ISERROR(VLOOKUP(D146,Categorias!A:B,2,0)),"",VLOOKUP(D146,Categorias!A:B,2,0))</f>
        <v/>
      </c>
      <c r="F146" s="80"/>
      <c r="G146" s="5"/>
      <c r="H146" s="73">
        <f t="shared" si="2"/>
        <v>0</v>
      </c>
    </row>
    <row r="147" spans="4:8" ht="13.8">
      <c r="D147" s="1"/>
      <c r="E147" s="1" t="str">
        <f>IF(ISERROR(VLOOKUP(D147,Categorias!A:B,2,0)),"",VLOOKUP(D147,Categorias!A:B,2,0))</f>
        <v/>
      </c>
      <c r="F147" s="80"/>
      <c r="G147" s="5"/>
      <c r="H147" s="73">
        <f t="shared" si="2"/>
        <v>0</v>
      </c>
    </row>
    <row r="148" spans="4:8" ht="13.8">
      <c r="D148" s="1"/>
      <c r="E148" s="1" t="str">
        <f>IF(ISERROR(VLOOKUP(D148,Categorias!A:B,2,0)),"",VLOOKUP(D148,Categorias!A:B,2,0))</f>
        <v/>
      </c>
      <c r="F148" s="80"/>
      <c r="G148" s="5"/>
      <c r="H148" s="73">
        <f t="shared" si="2"/>
        <v>0</v>
      </c>
    </row>
    <row r="149" spans="4:8" ht="13.8">
      <c r="D149" s="1"/>
      <c r="E149" s="1" t="str">
        <f>IF(ISERROR(VLOOKUP(D149,Categorias!A:B,2,0)),"",VLOOKUP(D149,Categorias!A:B,2,0))</f>
        <v/>
      </c>
      <c r="F149" s="80"/>
      <c r="G149" s="5"/>
      <c r="H149" s="73">
        <f t="shared" si="2"/>
        <v>0</v>
      </c>
    </row>
    <row r="150" spans="4:8" ht="13.8">
      <c r="D150" s="1"/>
      <c r="E150" s="1" t="str">
        <f>IF(ISERROR(VLOOKUP(D150,Categorias!A:B,2,0)),"",VLOOKUP(D150,Categorias!A:B,2,0))</f>
        <v/>
      </c>
      <c r="F150" s="80"/>
      <c r="G150" s="5"/>
      <c r="H150" s="73">
        <f t="shared" si="2"/>
        <v>0</v>
      </c>
    </row>
    <row r="151" spans="4:8" ht="13.8">
      <c r="D151" s="1"/>
      <c r="E151" s="1" t="str">
        <f>IF(ISERROR(VLOOKUP(D151,Categorias!A:B,2,0)),"",VLOOKUP(D151,Categorias!A:B,2,0))</f>
        <v/>
      </c>
      <c r="F151" s="80"/>
      <c r="G151" s="5"/>
      <c r="H151" s="73">
        <f t="shared" si="2"/>
        <v>0</v>
      </c>
    </row>
    <row r="152" spans="4:8" ht="13.8">
      <c r="D152" s="1"/>
      <c r="E152" s="1" t="str">
        <f>IF(ISERROR(VLOOKUP(D152,Categorias!A:B,2,0)),"",VLOOKUP(D152,Categorias!A:B,2,0))</f>
        <v/>
      </c>
      <c r="F152" s="80"/>
      <c r="G152" s="5"/>
      <c r="H152" s="73">
        <f t="shared" si="2"/>
        <v>0</v>
      </c>
    </row>
    <row r="153" spans="4:8" ht="13.8">
      <c r="D153" s="1"/>
      <c r="E153" s="1" t="str">
        <f>IF(ISERROR(VLOOKUP(D153,Categorias!A:B,2,0)),"",VLOOKUP(D153,Categorias!A:B,2,0))</f>
        <v/>
      </c>
      <c r="F153" s="80"/>
      <c r="G153" s="5"/>
      <c r="H153" s="73">
        <f t="shared" si="2"/>
        <v>0</v>
      </c>
    </row>
    <row r="154" spans="4:8" ht="13.8">
      <c r="D154" s="1"/>
      <c r="E154" s="1" t="str">
        <f>IF(ISERROR(VLOOKUP(D154,Categorias!A:B,2,0)),"",VLOOKUP(D154,Categorias!A:B,2,0))</f>
        <v/>
      </c>
      <c r="F154" s="80"/>
      <c r="G154" s="5"/>
      <c r="H154" s="73">
        <f t="shared" si="2"/>
        <v>0</v>
      </c>
    </row>
    <row r="155" spans="4:8" ht="13.8">
      <c r="D155" s="1"/>
      <c r="E155" s="1" t="str">
        <f>IF(ISERROR(VLOOKUP(D155,Categorias!A:B,2,0)),"",VLOOKUP(D155,Categorias!A:B,2,0))</f>
        <v/>
      </c>
      <c r="F155" s="80"/>
      <c r="G155" s="5"/>
      <c r="H155" s="73">
        <f t="shared" si="2"/>
        <v>0</v>
      </c>
    </row>
    <row r="156" spans="4:8" ht="13.8">
      <c r="D156" s="1"/>
      <c r="E156" s="1" t="str">
        <f>IF(ISERROR(VLOOKUP(D156,Categorias!A:B,2,0)),"",VLOOKUP(D156,Categorias!A:B,2,0))</f>
        <v/>
      </c>
      <c r="F156" s="80"/>
      <c r="G156" s="5"/>
      <c r="H156" s="73">
        <f t="shared" si="2"/>
        <v>0</v>
      </c>
    </row>
    <row r="157" spans="4:8" ht="13.8">
      <c r="D157" s="1"/>
      <c r="E157" s="1" t="str">
        <f>IF(ISERROR(VLOOKUP(D157,Categorias!A:B,2,0)),"",VLOOKUP(D157,Categorias!A:B,2,0))</f>
        <v/>
      </c>
      <c r="F157" s="80"/>
      <c r="G157" s="5"/>
      <c r="H157" s="73">
        <f t="shared" si="2"/>
        <v>0</v>
      </c>
    </row>
    <row r="158" spans="4:8" ht="13.8">
      <c r="D158" s="1"/>
      <c r="E158" s="1" t="str">
        <f>IF(ISERROR(VLOOKUP(D158,Categorias!A:B,2,0)),"",VLOOKUP(D158,Categorias!A:B,2,0))</f>
        <v/>
      </c>
      <c r="F158" s="80"/>
      <c r="G158" s="5"/>
      <c r="H158" s="73">
        <f t="shared" si="2"/>
        <v>0</v>
      </c>
    </row>
    <row r="159" spans="4:8" ht="13.8">
      <c r="D159" s="1"/>
      <c r="E159" s="1" t="str">
        <f>IF(ISERROR(VLOOKUP(D159,Categorias!A:B,2,0)),"",VLOOKUP(D159,Categorias!A:B,2,0))</f>
        <v/>
      </c>
      <c r="F159" s="80"/>
      <c r="G159" s="5"/>
      <c r="H159" s="73">
        <f t="shared" si="2"/>
        <v>0</v>
      </c>
    </row>
    <row r="160" spans="4:8" ht="13.8">
      <c r="D160" s="1"/>
      <c r="E160" s="1" t="str">
        <f>IF(ISERROR(VLOOKUP(D160,Categorias!A:B,2,0)),"",VLOOKUP(D160,Categorias!A:B,2,0))</f>
        <v/>
      </c>
      <c r="F160" s="80"/>
      <c r="G160" s="5"/>
      <c r="H160" s="73">
        <f t="shared" si="2"/>
        <v>0</v>
      </c>
    </row>
    <row r="161" spans="4:8" ht="13.8">
      <c r="D161" s="1"/>
      <c r="E161" s="1" t="str">
        <f>IF(ISERROR(VLOOKUP(D161,Categorias!A:B,2,0)),"",VLOOKUP(D161,Categorias!A:B,2,0))</f>
        <v/>
      </c>
      <c r="F161" s="80"/>
      <c r="G161" s="5"/>
      <c r="H161" s="73">
        <f t="shared" si="2"/>
        <v>0</v>
      </c>
    </row>
    <row r="162" spans="4:8" ht="13.8">
      <c r="D162" s="1"/>
      <c r="E162" s="1" t="str">
        <f>IF(ISERROR(VLOOKUP(D162,Categorias!A:B,2,0)),"",VLOOKUP(D162,Categorias!A:B,2,0))</f>
        <v/>
      </c>
      <c r="F162" s="80"/>
      <c r="G162" s="5"/>
      <c r="H162" s="73">
        <f t="shared" si="2"/>
        <v>0</v>
      </c>
    </row>
    <row r="163" spans="4:8" ht="13.8">
      <c r="D163" s="1"/>
      <c r="E163" s="1" t="str">
        <f>IF(ISERROR(VLOOKUP(D163,Categorias!A:B,2,0)),"",VLOOKUP(D163,Categorias!A:B,2,0))</f>
        <v/>
      </c>
      <c r="F163" s="80"/>
      <c r="G163" s="5"/>
      <c r="H163" s="73">
        <f t="shared" si="2"/>
        <v>0</v>
      </c>
    </row>
    <row r="164" spans="4:8" ht="13.8">
      <c r="D164" s="1"/>
      <c r="E164" s="1" t="str">
        <f>IF(ISERROR(VLOOKUP(D164,Categorias!A:B,2,0)),"",VLOOKUP(D164,Categorias!A:B,2,0))</f>
        <v/>
      </c>
      <c r="F164" s="80"/>
      <c r="G164" s="5"/>
      <c r="H164" s="73">
        <f t="shared" si="2"/>
        <v>0</v>
      </c>
    </row>
    <row r="165" spans="4:8" ht="13.8">
      <c r="D165" s="1"/>
      <c r="E165" s="1" t="str">
        <f>IF(ISERROR(VLOOKUP(D165,Categorias!A:B,2,0)),"",VLOOKUP(D165,Categorias!A:B,2,0))</f>
        <v/>
      </c>
      <c r="F165" s="80"/>
      <c r="G165" s="5"/>
      <c r="H165" s="73">
        <f t="shared" si="2"/>
        <v>0</v>
      </c>
    </row>
    <row r="166" spans="4:8" ht="13.8">
      <c r="D166" s="1"/>
      <c r="E166" s="1" t="str">
        <f>IF(ISERROR(VLOOKUP(D166,Categorias!A:B,2,0)),"",VLOOKUP(D166,Categorias!A:B,2,0))</f>
        <v/>
      </c>
      <c r="F166" s="80"/>
      <c r="G166" s="5"/>
      <c r="H166" s="73">
        <f t="shared" si="2"/>
        <v>0</v>
      </c>
    </row>
    <row r="167" spans="4:8" ht="13.8">
      <c r="D167" s="1"/>
      <c r="E167" s="1" t="str">
        <f>IF(ISERROR(VLOOKUP(D167,Categorias!A:B,2,0)),"",VLOOKUP(D167,Categorias!A:B,2,0))</f>
        <v/>
      </c>
      <c r="F167" s="80"/>
      <c r="G167" s="5"/>
      <c r="H167" s="73">
        <f t="shared" si="2"/>
        <v>0</v>
      </c>
    </row>
    <row r="168" spans="4:8" ht="13.8">
      <c r="D168" s="1"/>
      <c r="E168" s="1" t="str">
        <f>IF(ISERROR(VLOOKUP(D168,Categorias!A:B,2,0)),"",VLOOKUP(D168,Categorias!A:B,2,0))</f>
        <v/>
      </c>
      <c r="F168" s="80"/>
      <c r="G168" s="5"/>
      <c r="H168" s="73">
        <f t="shared" si="2"/>
        <v>0</v>
      </c>
    </row>
    <row r="169" spans="4:8" ht="13.8">
      <c r="D169" s="1"/>
      <c r="E169" s="1" t="str">
        <f>IF(ISERROR(VLOOKUP(D169,Categorias!A:B,2,0)),"",VLOOKUP(D169,Categorias!A:B,2,0))</f>
        <v/>
      </c>
      <c r="F169" s="80"/>
      <c r="G169" s="5"/>
      <c r="H169" s="73">
        <f t="shared" si="2"/>
        <v>0</v>
      </c>
    </row>
    <row r="170" spans="4:8" ht="13.8">
      <c r="D170" s="1"/>
      <c r="E170" s="1" t="str">
        <f>IF(ISERROR(VLOOKUP(D170,Categorias!A:B,2,0)),"",VLOOKUP(D170,Categorias!A:B,2,0))</f>
        <v/>
      </c>
      <c r="F170" s="80"/>
      <c r="G170" s="5"/>
      <c r="H170" s="73">
        <f t="shared" si="2"/>
        <v>0</v>
      </c>
    </row>
    <row r="171" spans="4:8" ht="13.8">
      <c r="D171" s="1"/>
      <c r="E171" s="1" t="str">
        <f>IF(ISERROR(VLOOKUP(D171,Categorias!A:B,2,0)),"",VLOOKUP(D171,Categorias!A:B,2,0))</f>
        <v/>
      </c>
      <c r="F171" s="80"/>
      <c r="G171" s="5"/>
      <c r="H171" s="73">
        <f t="shared" si="2"/>
        <v>0</v>
      </c>
    </row>
    <row r="172" spans="4:8" ht="13.8">
      <c r="D172" s="1"/>
      <c r="E172" s="1" t="str">
        <f>IF(ISERROR(VLOOKUP(D172,Categorias!A:B,2,0)),"",VLOOKUP(D172,Categorias!A:B,2,0))</f>
        <v/>
      </c>
      <c r="F172" s="80"/>
      <c r="G172" s="5"/>
      <c r="H172" s="73">
        <f t="shared" si="2"/>
        <v>0</v>
      </c>
    </row>
    <row r="173" spans="4:8" ht="13.8">
      <c r="D173" s="1"/>
      <c r="E173" s="1" t="str">
        <f>IF(ISERROR(VLOOKUP(D173,Categorias!A:B,2,0)),"",VLOOKUP(D173,Categorias!A:B,2,0))</f>
        <v/>
      </c>
      <c r="F173" s="80"/>
      <c r="G173" s="5"/>
      <c r="H173" s="73">
        <f t="shared" si="2"/>
        <v>0</v>
      </c>
    </row>
    <row r="174" spans="4:8" ht="13.8">
      <c r="D174" s="1"/>
      <c r="E174" s="1" t="str">
        <f>IF(ISERROR(VLOOKUP(D174,Categorias!A:B,2,0)),"",VLOOKUP(D174,Categorias!A:B,2,0))</f>
        <v/>
      </c>
      <c r="F174" s="80"/>
      <c r="G174" s="5"/>
      <c r="H174" s="73">
        <f t="shared" si="2"/>
        <v>0</v>
      </c>
    </row>
    <row r="175" spans="4:8" ht="13.8">
      <c r="D175" s="1"/>
      <c r="E175" s="1" t="str">
        <f>IF(ISERROR(VLOOKUP(D175,Categorias!A:B,2,0)),"",VLOOKUP(D175,Categorias!A:B,2,0))</f>
        <v/>
      </c>
      <c r="F175" s="80"/>
      <c r="G175" s="5"/>
      <c r="H175" s="73">
        <f t="shared" si="2"/>
        <v>0</v>
      </c>
    </row>
    <row r="176" spans="4:8" ht="13.8">
      <c r="D176" s="1"/>
      <c r="E176" s="1" t="str">
        <f>IF(ISERROR(VLOOKUP(D176,Categorias!A:B,2,0)),"",VLOOKUP(D176,Categorias!A:B,2,0))</f>
        <v/>
      </c>
      <c r="F176" s="80"/>
      <c r="G176" s="5"/>
      <c r="H176" s="73">
        <f t="shared" si="2"/>
        <v>0</v>
      </c>
    </row>
    <row r="177" spans="4:8" ht="13.8">
      <c r="D177" s="1"/>
      <c r="E177" s="1" t="str">
        <f>IF(ISERROR(VLOOKUP(D177,Categorias!A:B,2,0)),"",VLOOKUP(D177,Categorias!A:B,2,0))</f>
        <v/>
      </c>
      <c r="F177" s="80"/>
      <c r="G177" s="5"/>
      <c r="H177" s="73">
        <f t="shared" si="2"/>
        <v>0</v>
      </c>
    </row>
    <row r="178" spans="4:8" ht="13.8">
      <c r="D178" s="1"/>
      <c r="E178" s="1" t="str">
        <f>IF(ISERROR(VLOOKUP(D178,Categorias!A:B,2,0)),"",VLOOKUP(D178,Categorias!A:B,2,0))</f>
        <v/>
      </c>
      <c r="F178" s="80"/>
      <c r="G178" s="5"/>
      <c r="H178" s="73">
        <f t="shared" si="2"/>
        <v>0</v>
      </c>
    </row>
    <row r="179" spans="4:8" ht="13.8">
      <c r="D179" s="1"/>
      <c r="E179" s="1" t="str">
        <f>IF(ISERROR(VLOOKUP(D179,Categorias!A:B,2,0)),"",VLOOKUP(D179,Categorias!A:B,2,0))</f>
        <v/>
      </c>
      <c r="F179" s="80"/>
      <c r="G179" s="5"/>
      <c r="H179" s="73">
        <f t="shared" si="2"/>
        <v>0</v>
      </c>
    </row>
    <row r="180" spans="4:8" ht="13.8">
      <c r="D180" s="1"/>
      <c r="E180" s="1" t="str">
        <f>IF(ISERROR(VLOOKUP(D180,Categorias!A:B,2,0)),"",VLOOKUP(D180,Categorias!A:B,2,0))</f>
        <v/>
      </c>
      <c r="F180" s="80"/>
      <c r="G180" s="5"/>
      <c r="H180" s="73">
        <f t="shared" si="2"/>
        <v>0</v>
      </c>
    </row>
    <row r="181" spans="4:8" ht="13.8">
      <c r="D181" s="1"/>
      <c r="E181" s="1" t="str">
        <f>IF(ISERROR(VLOOKUP(D181,Categorias!A:B,2,0)),"",VLOOKUP(D181,Categorias!A:B,2,0))</f>
        <v/>
      </c>
      <c r="F181" s="80"/>
      <c r="G181" s="5"/>
      <c r="H181" s="73">
        <f t="shared" si="2"/>
        <v>0</v>
      </c>
    </row>
    <row r="182" spans="4:8" ht="13.8">
      <c r="D182" s="1"/>
      <c r="E182" s="1" t="str">
        <f>IF(ISERROR(VLOOKUP(D182,Categorias!A:B,2,0)),"",VLOOKUP(D182,Categorias!A:B,2,0))</f>
        <v/>
      </c>
      <c r="F182" s="80"/>
      <c r="G182" s="5"/>
      <c r="H182" s="73">
        <f t="shared" si="2"/>
        <v>0</v>
      </c>
    </row>
    <row r="183" spans="4:8" ht="13.8">
      <c r="D183" s="1"/>
      <c r="E183" s="1" t="str">
        <f>IF(ISERROR(VLOOKUP(D183,Categorias!A:B,2,0)),"",VLOOKUP(D183,Categorias!A:B,2,0))</f>
        <v/>
      </c>
      <c r="F183" s="80"/>
      <c r="G183" s="5"/>
      <c r="H183" s="73">
        <f t="shared" si="2"/>
        <v>0</v>
      </c>
    </row>
    <row r="184" spans="4:8" ht="13.8">
      <c r="D184" s="1"/>
      <c r="E184" s="1" t="str">
        <f>IF(ISERROR(VLOOKUP(D184,Categorias!A:B,2,0)),"",VLOOKUP(D184,Categorias!A:B,2,0))</f>
        <v/>
      </c>
      <c r="F184" s="80"/>
      <c r="G184" s="5"/>
      <c r="H184" s="73">
        <f t="shared" si="2"/>
        <v>0</v>
      </c>
    </row>
    <row r="185" spans="4:8" ht="13.8">
      <c r="D185" s="1"/>
      <c r="E185" s="1" t="str">
        <f>IF(ISERROR(VLOOKUP(D185,Categorias!A:B,2,0)),"",VLOOKUP(D185,Categorias!A:B,2,0))</f>
        <v/>
      </c>
      <c r="F185" s="80"/>
      <c r="G185" s="5"/>
      <c r="H185" s="73">
        <f t="shared" si="2"/>
        <v>0</v>
      </c>
    </row>
    <row r="186" spans="4:8" ht="13.8">
      <c r="D186" s="1"/>
      <c r="E186" s="1" t="str">
        <f>IF(ISERROR(VLOOKUP(D186,Categorias!A:B,2,0)),"",VLOOKUP(D186,Categorias!A:B,2,0))</f>
        <v/>
      </c>
      <c r="F186" s="80"/>
      <c r="G186" s="5"/>
      <c r="H186" s="73">
        <f t="shared" si="2"/>
        <v>0</v>
      </c>
    </row>
    <row r="187" spans="4:8" ht="13.8">
      <c r="D187" s="1"/>
      <c r="E187" s="1" t="str">
        <f>IF(ISERROR(VLOOKUP(D187,Categorias!A:B,2,0)),"",VLOOKUP(D187,Categorias!A:B,2,0))</f>
        <v/>
      </c>
      <c r="F187" s="80"/>
      <c r="G187" s="5"/>
      <c r="H187" s="73">
        <f t="shared" si="2"/>
        <v>0</v>
      </c>
    </row>
    <row r="188" spans="4:8" ht="13.8">
      <c r="D188" s="1"/>
      <c r="E188" s="1" t="str">
        <f>IF(ISERROR(VLOOKUP(D188,Categorias!A:B,2,0)),"",VLOOKUP(D188,Categorias!A:B,2,0))</f>
        <v/>
      </c>
      <c r="F188" s="80"/>
      <c r="G188" s="5"/>
      <c r="H188" s="73">
        <f t="shared" si="2"/>
        <v>0</v>
      </c>
    </row>
    <row r="189" spans="4:8" ht="13.8">
      <c r="D189" s="1"/>
      <c r="E189" s="1" t="str">
        <f>IF(ISERROR(VLOOKUP(D189,Categorias!A:B,2,0)),"",VLOOKUP(D189,Categorias!A:B,2,0))</f>
        <v/>
      </c>
      <c r="F189" s="80"/>
      <c r="G189" s="5"/>
      <c r="H189" s="73">
        <f t="shared" si="2"/>
        <v>0</v>
      </c>
    </row>
    <row r="190" spans="4:8" ht="13.8">
      <c r="D190" s="1"/>
      <c r="E190" s="1" t="str">
        <f>IF(ISERROR(VLOOKUP(D190,Categorias!A:B,2,0)),"",VLOOKUP(D190,Categorias!A:B,2,0))</f>
        <v/>
      </c>
      <c r="F190" s="80"/>
      <c r="G190" s="5"/>
      <c r="H190" s="73">
        <f t="shared" si="2"/>
        <v>0</v>
      </c>
    </row>
    <row r="191" spans="4:8" ht="13.8">
      <c r="D191" s="1"/>
      <c r="E191" s="1" t="str">
        <f>IF(ISERROR(VLOOKUP(D191,Categorias!A:B,2,0)),"",VLOOKUP(D191,Categorias!A:B,2,0))</f>
        <v/>
      </c>
      <c r="F191" s="80"/>
      <c r="G191" s="5"/>
      <c r="H191" s="73">
        <f t="shared" si="2"/>
        <v>0</v>
      </c>
    </row>
    <row r="192" spans="4:8" ht="13.8">
      <c r="D192" s="1"/>
      <c r="E192" s="1" t="str">
        <f>IF(ISERROR(VLOOKUP(D192,Categorias!A:B,2,0)),"",VLOOKUP(D192,Categorias!A:B,2,0))</f>
        <v/>
      </c>
      <c r="F192" s="80"/>
      <c r="G192" s="5"/>
      <c r="H192" s="73">
        <f t="shared" si="2"/>
        <v>0</v>
      </c>
    </row>
    <row r="193" spans="4:8" ht="13.8">
      <c r="D193" s="1"/>
      <c r="E193" s="1" t="str">
        <f>IF(ISERROR(VLOOKUP(D193,Categorias!A:B,2,0)),"",VLOOKUP(D193,Categorias!A:B,2,0))</f>
        <v/>
      </c>
      <c r="F193" s="80"/>
      <c r="G193" s="5"/>
      <c r="H193" s="73">
        <f t="shared" si="2"/>
        <v>0</v>
      </c>
    </row>
    <row r="194" spans="4:8" ht="13.8">
      <c r="D194" s="1"/>
      <c r="E194" s="1" t="str">
        <f>IF(ISERROR(VLOOKUP(D194,Categorias!A:B,2,0)),"",VLOOKUP(D194,Categorias!A:B,2,0))</f>
        <v/>
      </c>
      <c r="F194" s="80"/>
      <c r="G194" s="5"/>
      <c r="H194" s="73">
        <f t="shared" si="2"/>
        <v>0</v>
      </c>
    </row>
    <row r="195" spans="4:8" ht="13.8">
      <c r="D195" s="1"/>
      <c r="E195" s="1" t="str">
        <f>IF(ISERROR(VLOOKUP(D195,Categorias!A:B,2,0)),"",VLOOKUP(D195,Categorias!A:B,2,0))</f>
        <v/>
      </c>
      <c r="F195" s="80"/>
      <c r="G195" s="5"/>
      <c r="H195" s="73">
        <f t="shared" si="2"/>
        <v>0</v>
      </c>
    </row>
    <row r="196" spans="4:8" ht="13.8">
      <c r="D196" s="1"/>
      <c r="E196" s="1" t="str">
        <f>IF(ISERROR(VLOOKUP(D196,Categorias!A:B,2,0)),"",VLOOKUP(D196,Categorias!A:B,2,0))</f>
        <v/>
      </c>
      <c r="F196" s="80"/>
      <c r="G196" s="5"/>
      <c r="H196" s="73">
        <f t="shared" si="2"/>
        <v>0</v>
      </c>
    </row>
    <row r="197" spans="4:8" ht="13.8">
      <c r="D197" s="1"/>
      <c r="E197" s="1" t="str">
        <f>IF(ISERROR(VLOOKUP(D197,Categorias!A:B,2,0)),"",VLOOKUP(D197,Categorias!A:B,2,0))</f>
        <v/>
      </c>
      <c r="F197" s="80"/>
      <c r="G197" s="5"/>
      <c r="H197" s="73">
        <f t="shared" si="2"/>
        <v>0</v>
      </c>
    </row>
    <row r="198" spans="4:8" ht="13.8">
      <c r="D198" s="1"/>
      <c r="E198" s="1" t="str">
        <f>IF(ISERROR(VLOOKUP(D198,Categorias!A:B,2,0)),"",VLOOKUP(D198,Categorias!A:B,2,0))</f>
        <v/>
      </c>
      <c r="F198" s="80"/>
      <c r="G198" s="5"/>
      <c r="H198" s="73">
        <f t="shared" si="2"/>
        <v>0</v>
      </c>
    </row>
    <row r="199" spans="4:8" ht="13.8">
      <c r="D199" s="1"/>
      <c r="E199" s="1" t="str">
        <f>IF(ISERROR(VLOOKUP(D199,Categorias!A:B,2,0)),"",VLOOKUP(D199,Categorias!A:B,2,0))</f>
        <v/>
      </c>
      <c r="F199" s="80"/>
      <c r="G199" s="5"/>
      <c r="H199" s="73">
        <f t="shared" si="2"/>
        <v>0</v>
      </c>
    </row>
    <row r="200" spans="4:8" ht="13.8">
      <c r="D200" s="1"/>
      <c r="E200" s="1" t="str">
        <f>IF(ISERROR(VLOOKUP(D200,Categorias!A:B,2,0)),"",VLOOKUP(D200,Categorias!A:B,2,0))</f>
        <v/>
      </c>
      <c r="F200" s="80"/>
      <c r="G200" s="5"/>
      <c r="H200" s="73">
        <f t="shared" si="2"/>
        <v>0</v>
      </c>
    </row>
    <row r="201" spans="4:8" ht="13.8">
      <c r="D201" s="1"/>
      <c r="E201" s="1" t="str">
        <f>IF(ISERROR(VLOOKUP(D201,Categorias!A:B,2,0)),"",VLOOKUP(D201,Categorias!A:B,2,0))</f>
        <v/>
      </c>
      <c r="F201" s="80"/>
      <c r="G201" s="5"/>
      <c r="H201" s="73">
        <f t="shared" si="2"/>
        <v>0</v>
      </c>
    </row>
    <row r="202" spans="4:8" ht="13.8">
      <c r="D202" s="1"/>
      <c r="E202" s="1" t="str">
        <f>IF(ISERROR(VLOOKUP(D202,Categorias!A:B,2,0)),"",VLOOKUP(D202,Categorias!A:B,2,0))</f>
        <v/>
      </c>
      <c r="F202" s="80"/>
      <c r="G202" s="5"/>
      <c r="H202" s="73">
        <f t="shared" si="2"/>
        <v>0</v>
      </c>
    </row>
    <row r="203" spans="4:8" ht="13.8">
      <c r="D203" s="1"/>
      <c r="E203" s="1" t="str">
        <f>IF(ISERROR(VLOOKUP(D203,Categorias!A:B,2,0)),"",VLOOKUP(D203,Categorias!A:B,2,0))</f>
        <v/>
      </c>
      <c r="F203" s="80"/>
      <c r="G203" s="5"/>
      <c r="H203" s="73">
        <f t="shared" si="2"/>
        <v>0</v>
      </c>
    </row>
    <row r="204" spans="4:8" ht="13.8">
      <c r="D204" s="1"/>
      <c r="E204" s="1" t="str">
        <f>IF(ISERROR(VLOOKUP(D204,Categorias!A:B,2,0)),"",VLOOKUP(D204,Categorias!A:B,2,0))</f>
        <v/>
      </c>
      <c r="F204" s="80"/>
      <c r="G204" s="5"/>
      <c r="H204" s="73">
        <f t="shared" si="2"/>
        <v>0</v>
      </c>
    </row>
    <row r="205" spans="4:8" ht="13.8">
      <c r="D205" s="1"/>
      <c r="E205" s="1" t="str">
        <f>IF(ISERROR(VLOOKUP(D205,Categorias!A:B,2,0)),"",VLOOKUP(D205,Categorias!A:B,2,0))</f>
        <v/>
      </c>
      <c r="F205" s="80"/>
      <c r="G205" s="5"/>
      <c r="H205" s="73">
        <f t="shared" si="2"/>
        <v>0</v>
      </c>
    </row>
    <row r="206" spans="4:8" ht="13.8">
      <c r="D206" s="1"/>
      <c r="E206" s="1" t="str">
        <f>IF(ISERROR(VLOOKUP(D206,Categorias!A:B,2,0)),"",VLOOKUP(D206,Categorias!A:B,2,0))</f>
        <v/>
      </c>
      <c r="F206" s="80"/>
      <c r="G206" s="5"/>
      <c r="H206" s="73">
        <f t="shared" ref="H206:H254" si="3">H205+F206-G206</f>
        <v>0</v>
      </c>
    </row>
    <row r="207" spans="4:8" ht="13.8">
      <c r="D207" s="1"/>
      <c r="E207" s="1" t="str">
        <f>IF(ISERROR(VLOOKUP(D207,Categorias!A:B,2,0)),"",VLOOKUP(D207,Categorias!A:B,2,0))</f>
        <v/>
      </c>
      <c r="F207" s="80"/>
      <c r="G207" s="5"/>
      <c r="H207" s="73">
        <f t="shared" si="3"/>
        <v>0</v>
      </c>
    </row>
    <row r="208" spans="4:8" ht="13.8">
      <c r="D208" s="1"/>
      <c r="E208" s="1" t="str">
        <f>IF(ISERROR(VLOOKUP(D208,Categorias!A:B,2,0)),"",VLOOKUP(D208,Categorias!A:B,2,0))</f>
        <v/>
      </c>
      <c r="F208" s="80"/>
      <c r="G208" s="5"/>
      <c r="H208" s="73">
        <f t="shared" si="3"/>
        <v>0</v>
      </c>
    </row>
    <row r="209" spans="4:8" ht="13.8">
      <c r="D209" s="1"/>
      <c r="E209" s="1" t="str">
        <f>IF(ISERROR(VLOOKUP(D209,Categorias!A:B,2,0)),"",VLOOKUP(D209,Categorias!A:B,2,0))</f>
        <v/>
      </c>
      <c r="F209" s="80"/>
      <c r="G209" s="5"/>
      <c r="H209" s="73">
        <f t="shared" si="3"/>
        <v>0</v>
      </c>
    </row>
    <row r="210" spans="4:8" ht="13.8">
      <c r="D210" s="1"/>
      <c r="E210" s="1" t="str">
        <f>IF(ISERROR(VLOOKUP(D210,Categorias!A:B,2,0)),"",VLOOKUP(D210,Categorias!A:B,2,0))</f>
        <v/>
      </c>
      <c r="F210" s="80"/>
      <c r="G210" s="5"/>
      <c r="H210" s="73">
        <f t="shared" si="3"/>
        <v>0</v>
      </c>
    </row>
    <row r="211" spans="4:8" ht="13.8">
      <c r="D211" s="1"/>
      <c r="E211" s="1" t="str">
        <f>IF(ISERROR(VLOOKUP(D211,Categorias!A:B,2,0)),"",VLOOKUP(D211,Categorias!A:B,2,0))</f>
        <v/>
      </c>
      <c r="F211" s="80"/>
      <c r="G211" s="5"/>
      <c r="H211" s="73">
        <f t="shared" si="3"/>
        <v>0</v>
      </c>
    </row>
    <row r="212" spans="4:8" ht="13.8">
      <c r="D212" s="1"/>
      <c r="E212" s="1" t="str">
        <f>IF(ISERROR(VLOOKUP(D212,Categorias!A:B,2,0)),"",VLOOKUP(D212,Categorias!A:B,2,0))</f>
        <v/>
      </c>
      <c r="F212" s="80"/>
      <c r="G212" s="5"/>
      <c r="H212" s="73">
        <f t="shared" si="3"/>
        <v>0</v>
      </c>
    </row>
    <row r="213" spans="4:8" ht="13.8">
      <c r="D213" s="1"/>
      <c r="E213" s="1" t="str">
        <f>IF(ISERROR(VLOOKUP(D213,Categorias!A:B,2,0)),"",VLOOKUP(D213,Categorias!A:B,2,0))</f>
        <v/>
      </c>
      <c r="F213" s="80"/>
      <c r="G213" s="5"/>
      <c r="H213" s="73">
        <f t="shared" si="3"/>
        <v>0</v>
      </c>
    </row>
    <row r="214" spans="4:8" ht="13.8">
      <c r="D214" s="1"/>
      <c r="E214" s="1" t="str">
        <f>IF(ISERROR(VLOOKUP(D214,Categorias!A:B,2,0)),"",VLOOKUP(D214,Categorias!A:B,2,0))</f>
        <v/>
      </c>
      <c r="F214" s="80"/>
      <c r="G214" s="5"/>
      <c r="H214" s="73">
        <f t="shared" si="3"/>
        <v>0</v>
      </c>
    </row>
    <row r="215" spans="4:8" ht="13.8">
      <c r="D215" s="1"/>
      <c r="E215" s="1" t="str">
        <f>IF(ISERROR(VLOOKUP(D215,Categorias!A:B,2,0)),"",VLOOKUP(D215,Categorias!A:B,2,0))</f>
        <v/>
      </c>
      <c r="F215" s="80"/>
      <c r="G215" s="5"/>
      <c r="H215" s="73">
        <f t="shared" si="3"/>
        <v>0</v>
      </c>
    </row>
    <row r="216" spans="4:8" ht="13.8">
      <c r="D216" s="1"/>
      <c r="E216" s="1" t="str">
        <f>IF(ISERROR(VLOOKUP(D216,Categorias!A:B,2,0)),"",VLOOKUP(D216,Categorias!A:B,2,0))</f>
        <v/>
      </c>
      <c r="F216" s="80"/>
      <c r="G216" s="5"/>
      <c r="H216" s="73">
        <f t="shared" si="3"/>
        <v>0</v>
      </c>
    </row>
    <row r="217" spans="4:8" ht="13.8">
      <c r="D217" s="1"/>
      <c r="E217" s="1" t="str">
        <f>IF(ISERROR(VLOOKUP(D217,Categorias!A:B,2,0)),"",VLOOKUP(D217,Categorias!A:B,2,0))</f>
        <v/>
      </c>
      <c r="F217" s="80"/>
      <c r="G217" s="5"/>
      <c r="H217" s="73">
        <f t="shared" si="3"/>
        <v>0</v>
      </c>
    </row>
    <row r="218" spans="4:8" ht="13.8">
      <c r="D218" s="1"/>
      <c r="E218" s="1" t="str">
        <f>IF(ISERROR(VLOOKUP(D218,Categorias!A:B,2,0)),"",VLOOKUP(D218,Categorias!A:B,2,0))</f>
        <v/>
      </c>
      <c r="F218" s="80"/>
      <c r="G218" s="5"/>
      <c r="H218" s="73">
        <f t="shared" si="3"/>
        <v>0</v>
      </c>
    </row>
    <row r="219" spans="4:8" ht="13.8">
      <c r="D219" s="1"/>
      <c r="E219" s="1" t="str">
        <f>IF(ISERROR(VLOOKUP(D219,Categorias!A:B,2,0)),"",VLOOKUP(D219,Categorias!A:B,2,0))</f>
        <v/>
      </c>
      <c r="F219" s="80"/>
      <c r="G219" s="5"/>
      <c r="H219" s="73">
        <f t="shared" si="3"/>
        <v>0</v>
      </c>
    </row>
    <row r="220" spans="4:8" ht="13.8">
      <c r="D220" s="1"/>
      <c r="E220" s="1" t="str">
        <f>IF(ISERROR(VLOOKUP(D220,Categorias!A:B,2,0)),"",VLOOKUP(D220,Categorias!A:B,2,0))</f>
        <v/>
      </c>
      <c r="F220" s="80"/>
      <c r="G220" s="5"/>
      <c r="H220" s="73">
        <f t="shared" si="3"/>
        <v>0</v>
      </c>
    </row>
    <row r="221" spans="4:8" ht="13.8">
      <c r="D221" s="1"/>
      <c r="E221" s="1" t="str">
        <f>IF(ISERROR(VLOOKUP(D221,Categorias!A:B,2,0)),"",VLOOKUP(D221,Categorias!A:B,2,0))</f>
        <v/>
      </c>
      <c r="F221" s="80"/>
      <c r="G221" s="5"/>
      <c r="H221" s="73">
        <f t="shared" si="3"/>
        <v>0</v>
      </c>
    </row>
    <row r="222" spans="4:8" ht="13.8">
      <c r="D222" s="1"/>
      <c r="E222" s="1" t="str">
        <f>IF(ISERROR(VLOOKUP(D222,Categorias!A:B,2,0)),"",VLOOKUP(D222,Categorias!A:B,2,0))</f>
        <v/>
      </c>
      <c r="F222" s="80"/>
      <c r="G222" s="5"/>
      <c r="H222" s="73">
        <f t="shared" si="3"/>
        <v>0</v>
      </c>
    </row>
    <row r="223" spans="4:8" ht="13.8">
      <c r="D223" s="1"/>
      <c r="E223" s="1" t="str">
        <f>IF(ISERROR(VLOOKUP(D223,Categorias!A:B,2,0)),"",VLOOKUP(D223,Categorias!A:B,2,0))</f>
        <v/>
      </c>
      <c r="F223" s="80"/>
      <c r="G223" s="5"/>
      <c r="H223" s="73">
        <f t="shared" si="3"/>
        <v>0</v>
      </c>
    </row>
    <row r="224" spans="4:8" ht="13.8">
      <c r="D224" s="1"/>
      <c r="E224" s="1" t="str">
        <f>IF(ISERROR(VLOOKUP(D224,Categorias!A:B,2,0)),"",VLOOKUP(D224,Categorias!A:B,2,0))</f>
        <v/>
      </c>
      <c r="F224" s="80"/>
      <c r="G224" s="5"/>
      <c r="H224" s="73">
        <f t="shared" si="3"/>
        <v>0</v>
      </c>
    </row>
    <row r="225" spans="4:8" ht="13.8">
      <c r="D225" s="1"/>
      <c r="E225" s="1" t="str">
        <f>IF(ISERROR(VLOOKUP(D225,Categorias!A:B,2,0)),"",VLOOKUP(D225,Categorias!A:B,2,0))</f>
        <v/>
      </c>
      <c r="F225" s="80"/>
      <c r="G225" s="5"/>
      <c r="H225" s="73">
        <f t="shared" si="3"/>
        <v>0</v>
      </c>
    </row>
    <row r="226" spans="4:8" ht="13.8">
      <c r="D226" s="1"/>
      <c r="E226" s="1" t="str">
        <f>IF(ISERROR(VLOOKUP(D226,Categorias!A:B,2,0)),"",VLOOKUP(D226,Categorias!A:B,2,0))</f>
        <v/>
      </c>
      <c r="F226" s="80"/>
      <c r="G226" s="5"/>
      <c r="H226" s="73">
        <f t="shared" si="3"/>
        <v>0</v>
      </c>
    </row>
    <row r="227" spans="4:8" ht="13.8">
      <c r="D227" s="1"/>
      <c r="E227" s="1" t="str">
        <f>IF(ISERROR(VLOOKUP(D227,Categorias!A:B,2,0)),"",VLOOKUP(D227,Categorias!A:B,2,0))</f>
        <v/>
      </c>
      <c r="F227" s="80"/>
      <c r="G227" s="5"/>
      <c r="H227" s="73">
        <f t="shared" si="3"/>
        <v>0</v>
      </c>
    </row>
    <row r="228" spans="4:8" ht="13.8">
      <c r="D228" s="1"/>
      <c r="E228" s="1" t="str">
        <f>IF(ISERROR(VLOOKUP(D228,Categorias!A:B,2,0)),"",VLOOKUP(D228,Categorias!A:B,2,0))</f>
        <v/>
      </c>
      <c r="F228" s="80"/>
      <c r="G228" s="5"/>
      <c r="H228" s="73">
        <f t="shared" si="3"/>
        <v>0</v>
      </c>
    </row>
    <row r="229" spans="4:8" ht="13.8">
      <c r="D229" s="1"/>
      <c r="E229" s="1" t="str">
        <f>IF(ISERROR(VLOOKUP(D229,Categorias!A:B,2,0)),"",VLOOKUP(D229,Categorias!A:B,2,0))</f>
        <v/>
      </c>
      <c r="F229" s="80"/>
      <c r="G229" s="5"/>
      <c r="H229" s="73">
        <f t="shared" si="3"/>
        <v>0</v>
      </c>
    </row>
    <row r="230" spans="4:8" ht="13.8">
      <c r="D230" s="1"/>
      <c r="E230" s="1" t="str">
        <f>IF(ISERROR(VLOOKUP(D230,Categorias!A:B,2,0)),"",VLOOKUP(D230,Categorias!A:B,2,0))</f>
        <v/>
      </c>
      <c r="F230" s="80"/>
      <c r="G230" s="5"/>
      <c r="H230" s="73">
        <f t="shared" si="3"/>
        <v>0</v>
      </c>
    </row>
    <row r="231" spans="4:8" ht="13.8">
      <c r="D231" s="1"/>
      <c r="E231" s="1" t="str">
        <f>IF(ISERROR(VLOOKUP(D231,Categorias!A:B,2,0)),"",VLOOKUP(D231,Categorias!A:B,2,0))</f>
        <v/>
      </c>
      <c r="F231" s="80"/>
      <c r="G231" s="5"/>
      <c r="H231" s="73">
        <f t="shared" si="3"/>
        <v>0</v>
      </c>
    </row>
    <row r="232" spans="4:8" ht="13.8">
      <c r="D232" s="1"/>
      <c r="E232" s="1" t="str">
        <f>IF(ISERROR(VLOOKUP(D232,Categorias!A:B,2,0)),"",VLOOKUP(D232,Categorias!A:B,2,0))</f>
        <v/>
      </c>
      <c r="F232" s="80"/>
      <c r="G232" s="5"/>
      <c r="H232" s="73">
        <f t="shared" si="3"/>
        <v>0</v>
      </c>
    </row>
    <row r="233" spans="4:8" ht="13.8">
      <c r="D233" s="1"/>
      <c r="E233" s="1" t="str">
        <f>IF(ISERROR(VLOOKUP(D233,Categorias!A:B,2,0)),"",VLOOKUP(D233,Categorias!A:B,2,0))</f>
        <v/>
      </c>
      <c r="F233" s="80"/>
      <c r="G233" s="5"/>
      <c r="H233" s="73">
        <f t="shared" si="3"/>
        <v>0</v>
      </c>
    </row>
    <row r="234" spans="4:8" ht="13.8">
      <c r="D234" s="1"/>
      <c r="E234" s="1" t="str">
        <f>IF(ISERROR(VLOOKUP(D234,Categorias!A:B,2,0)),"",VLOOKUP(D234,Categorias!A:B,2,0))</f>
        <v/>
      </c>
      <c r="F234" s="80"/>
      <c r="G234" s="5"/>
      <c r="H234" s="73">
        <f t="shared" si="3"/>
        <v>0</v>
      </c>
    </row>
    <row r="235" spans="4:8" ht="13.8">
      <c r="D235" s="1"/>
      <c r="E235" s="1" t="str">
        <f>IF(ISERROR(VLOOKUP(D235,Categorias!A:B,2,0)),"",VLOOKUP(D235,Categorias!A:B,2,0))</f>
        <v/>
      </c>
      <c r="F235" s="80"/>
      <c r="G235" s="5"/>
      <c r="H235" s="73">
        <f t="shared" si="3"/>
        <v>0</v>
      </c>
    </row>
    <row r="236" spans="4:8" ht="13.8">
      <c r="D236" s="1"/>
      <c r="E236" s="1" t="str">
        <f>IF(ISERROR(VLOOKUP(D236,Categorias!A:B,2,0)),"",VLOOKUP(D236,Categorias!A:B,2,0))</f>
        <v/>
      </c>
      <c r="F236" s="80"/>
      <c r="G236" s="5"/>
      <c r="H236" s="73">
        <f t="shared" si="3"/>
        <v>0</v>
      </c>
    </row>
    <row r="237" spans="4:8" ht="13.8">
      <c r="D237" s="1"/>
      <c r="E237" s="1" t="str">
        <f>IF(ISERROR(VLOOKUP(D237,Categorias!A:B,2,0)),"",VLOOKUP(D237,Categorias!A:B,2,0))</f>
        <v/>
      </c>
      <c r="F237" s="80"/>
      <c r="G237" s="5"/>
      <c r="H237" s="73">
        <f t="shared" si="3"/>
        <v>0</v>
      </c>
    </row>
    <row r="238" spans="4:8" ht="13.8">
      <c r="D238" s="1"/>
      <c r="E238" s="1" t="str">
        <f>IF(ISERROR(VLOOKUP(D238,Categorias!A:B,2,0)),"",VLOOKUP(D238,Categorias!A:B,2,0))</f>
        <v/>
      </c>
      <c r="F238" s="80"/>
      <c r="G238" s="5"/>
      <c r="H238" s="73">
        <f t="shared" si="3"/>
        <v>0</v>
      </c>
    </row>
    <row r="239" spans="4:8" ht="13.8">
      <c r="D239" s="1"/>
      <c r="E239" s="1" t="str">
        <f>IF(ISERROR(VLOOKUP(D239,Categorias!A:B,2,0)),"",VLOOKUP(D239,Categorias!A:B,2,0))</f>
        <v/>
      </c>
      <c r="F239" s="80"/>
      <c r="G239" s="5"/>
      <c r="H239" s="73">
        <f t="shared" si="3"/>
        <v>0</v>
      </c>
    </row>
    <row r="240" spans="4:8" ht="13.8">
      <c r="D240" s="1"/>
      <c r="E240" s="1" t="str">
        <f>IF(ISERROR(VLOOKUP(D240,Categorias!A:B,2,0)),"",VLOOKUP(D240,Categorias!A:B,2,0))</f>
        <v/>
      </c>
      <c r="F240" s="80"/>
      <c r="G240" s="5"/>
      <c r="H240" s="73">
        <f t="shared" si="3"/>
        <v>0</v>
      </c>
    </row>
    <row r="241" spans="4:8" ht="13.8">
      <c r="D241" s="1"/>
      <c r="E241" s="1" t="str">
        <f>IF(ISERROR(VLOOKUP(D241,Categorias!A:B,2,0)),"",VLOOKUP(D241,Categorias!A:B,2,0))</f>
        <v/>
      </c>
      <c r="F241" s="80"/>
      <c r="G241" s="5"/>
      <c r="H241" s="73">
        <f t="shared" si="3"/>
        <v>0</v>
      </c>
    </row>
    <row r="242" spans="4:8" ht="13.8">
      <c r="D242" s="1"/>
      <c r="E242" s="1" t="str">
        <f>IF(ISERROR(VLOOKUP(D242,Categorias!A:B,2,0)),"",VLOOKUP(D242,Categorias!A:B,2,0))</f>
        <v/>
      </c>
      <c r="F242" s="80"/>
      <c r="G242" s="5"/>
      <c r="H242" s="73">
        <f t="shared" si="3"/>
        <v>0</v>
      </c>
    </row>
    <row r="243" spans="4:8" ht="13.8">
      <c r="D243" s="1"/>
      <c r="E243" s="1" t="str">
        <f>IF(ISERROR(VLOOKUP(D243,Categorias!A:B,2,0)),"",VLOOKUP(D243,Categorias!A:B,2,0))</f>
        <v/>
      </c>
      <c r="F243" s="80"/>
      <c r="G243" s="5"/>
      <c r="H243" s="73">
        <f t="shared" si="3"/>
        <v>0</v>
      </c>
    </row>
    <row r="244" spans="4:8" ht="13.8">
      <c r="D244" s="1"/>
      <c r="E244" s="1" t="str">
        <f>IF(ISERROR(VLOOKUP(D244,Categorias!A:B,2,0)),"",VLOOKUP(D244,Categorias!A:B,2,0))</f>
        <v/>
      </c>
      <c r="F244" s="80"/>
      <c r="G244" s="5"/>
      <c r="H244" s="73">
        <f t="shared" si="3"/>
        <v>0</v>
      </c>
    </row>
    <row r="245" spans="4:8" ht="13.8">
      <c r="D245" s="1"/>
      <c r="E245" s="1" t="str">
        <f>IF(ISERROR(VLOOKUP(D245,Categorias!A:B,2,0)),"",VLOOKUP(D245,Categorias!A:B,2,0))</f>
        <v/>
      </c>
      <c r="F245" s="80"/>
      <c r="G245" s="5"/>
      <c r="H245" s="73">
        <f t="shared" si="3"/>
        <v>0</v>
      </c>
    </row>
    <row r="246" spans="4:8" ht="13.8">
      <c r="D246" s="1"/>
      <c r="E246" s="1" t="str">
        <f>IF(ISERROR(VLOOKUP(D246,Categorias!A:B,2,0)),"",VLOOKUP(D246,Categorias!A:B,2,0))</f>
        <v/>
      </c>
      <c r="F246" s="80"/>
      <c r="G246" s="5"/>
      <c r="H246" s="73">
        <f t="shared" si="3"/>
        <v>0</v>
      </c>
    </row>
    <row r="247" spans="4:8" ht="13.8">
      <c r="D247" s="1"/>
      <c r="E247" s="1" t="str">
        <f>IF(ISERROR(VLOOKUP(D247,Categorias!A:B,2,0)),"",VLOOKUP(D247,Categorias!A:B,2,0))</f>
        <v/>
      </c>
      <c r="F247" s="80"/>
      <c r="G247" s="5"/>
      <c r="H247" s="73">
        <f t="shared" si="3"/>
        <v>0</v>
      </c>
    </row>
    <row r="248" spans="4:8" ht="13.8">
      <c r="D248" s="1"/>
      <c r="E248" s="1" t="str">
        <f>IF(ISERROR(VLOOKUP(D248,Categorias!A:B,2,0)),"",VLOOKUP(D248,Categorias!A:B,2,0))</f>
        <v/>
      </c>
      <c r="F248" s="80"/>
      <c r="G248" s="5"/>
      <c r="H248" s="73">
        <f t="shared" si="3"/>
        <v>0</v>
      </c>
    </row>
    <row r="249" spans="4:8" ht="13.8">
      <c r="D249" s="1"/>
      <c r="E249" s="1" t="str">
        <f>IF(ISERROR(VLOOKUP(D249,Categorias!A:B,2,0)),"",VLOOKUP(D249,Categorias!A:B,2,0))</f>
        <v/>
      </c>
      <c r="F249" s="80"/>
      <c r="G249" s="5"/>
      <c r="H249" s="73">
        <f t="shared" si="3"/>
        <v>0</v>
      </c>
    </row>
    <row r="250" spans="4:8" ht="13.8">
      <c r="D250" s="1"/>
      <c r="E250" s="1" t="str">
        <f>IF(ISERROR(VLOOKUP(D250,Categorias!A:B,2,0)),"",VLOOKUP(D250,Categorias!A:B,2,0))</f>
        <v/>
      </c>
      <c r="F250" s="80"/>
      <c r="G250" s="5"/>
      <c r="H250" s="73">
        <f t="shared" si="3"/>
        <v>0</v>
      </c>
    </row>
    <row r="251" spans="4:8" ht="13.8">
      <c r="D251" s="1"/>
      <c r="E251" s="1" t="str">
        <f>IF(ISERROR(VLOOKUP(D251,Categorias!A:B,2,0)),"",VLOOKUP(D251,Categorias!A:B,2,0))</f>
        <v/>
      </c>
      <c r="F251" s="80"/>
      <c r="G251" s="5"/>
      <c r="H251" s="73">
        <f t="shared" si="3"/>
        <v>0</v>
      </c>
    </row>
    <row r="252" spans="4:8" ht="13.8">
      <c r="D252" s="1"/>
      <c r="E252" s="1" t="str">
        <f>IF(ISERROR(VLOOKUP(D252,Categorias!A:B,2,0)),"",VLOOKUP(D252,Categorias!A:B,2,0))</f>
        <v/>
      </c>
      <c r="F252" s="80"/>
      <c r="G252" s="5"/>
      <c r="H252" s="73">
        <f t="shared" si="3"/>
        <v>0</v>
      </c>
    </row>
    <row r="253" spans="4:8" ht="13.8">
      <c r="D253" s="1"/>
      <c r="E253" s="1" t="str">
        <f>IF(ISERROR(VLOOKUP(D253,Categorias!A:B,2,0)),"",VLOOKUP(D253,Categorias!A:B,2,0))</f>
        <v/>
      </c>
      <c r="F253" s="80"/>
      <c r="G253" s="5"/>
      <c r="H253" s="73">
        <f t="shared" si="3"/>
        <v>0</v>
      </c>
    </row>
    <row r="254" spans="4:8" ht="13.8">
      <c r="D254" s="1"/>
      <c r="E254" s="1" t="str">
        <f>IF(ISERROR(VLOOKUP(D254,Categorias!A:B,2,0)),"",VLOOKUP(D254,Categorias!A:B,2,0))</f>
        <v/>
      </c>
      <c r="F254" s="80"/>
      <c r="G254" s="5"/>
      <c r="H254" s="73">
        <f t="shared" si="3"/>
        <v>0</v>
      </c>
    </row>
    <row r="255" spans="4:8" ht="13.8">
      <c r="F255" s="81"/>
      <c r="G255" s="6"/>
      <c r="H255" s="60"/>
    </row>
    <row r="256" spans="4:8" ht="13.8">
      <c r="F256" s="81"/>
      <c r="G256" s="6"/>
      <c r="H256" s="60"/>
    </row>
    <row r="257" spans="6:8" ht="13.8">
      <c r="F257" s="81"/>
      <c r="G257" s="6"/>
      <c r="H257" s="60"/>
    </row>
    <row r="258" spans="6:8" ht="13.8">
      <c r="F258" s="81"/>
      <c r="G258" s="6"/>
      <c r="H258" s="60"/>
    </row>
    <row r="259" spans="6:8" ht="13.8">
      <c r="F259" s="81"/>
      <c r="G259" s="6"/>
      <c r="H259" s="60"/>
    </row>
    <row r="260" spans="6:8" ht="13.8">
      <c r="F260" s="81"/>
      <c r="G260" s="6"/>
      <c r="H260" s="60"/>
    </row>
    <row r="261" spans="6:8" ht="13.8">
      <c r="F261" s="81"/>
      <c r="G261" s="6"/>
      <c r="H261" s="60"/>
    </row>
    <row r="262" spans="6:8" ht="13.8">
      <c r="F262" s="81"/>
      <c r="G262" s="6"/>
      <c r="H262" s="60"/>
    </row>
    <row r="263" spans="6:8" ht="13.8">
      <c r="F263" s="81"/>
      <c r="G263" s="6"/>
      <c r="H263" s="60"/>
    </row>
    <row r="264" spans="6:8" ht="13.8">
      <c r="F264" s="81"/>
      <c r="G264" s="6"/>
      <c r="H264" s="60"/>
    </row>
    <row r="265" spans="6:8" ht="13.8">
      <c r="F265" s="81"/>
      <c r="G265" s="6"/>
      <c r="H265" s="60"/>
    </row>
    <row r="266" spans="6:8" ht="13.8">
      <c r="F266" s="81"/>
      <c r="G266" s="6"/>
      <c r="H266" s="60"/>
    </row>
    <row r="267" spans="6:8" ht="13.8">
      <c r="F267" s="81"/>
      <c r="G267" s="6"/>
      <c r="H267" s="60"/>
    </row>
    <row r="268" spans="6:8" ht="13.8">
      <c r="F268" s="81"/>
      <c r="G268" s="6"/>
      <c r="H268" s="60"/>
    </row>
    <row r="269" spans="6:8" ht="13.8">
      <c r="F269" s="81"/>
      <c r="G269" s="6"/>
      <c r="H269" s="60"/>
    </row>
    <row r="270" spans="6:8" ht="13.8">
      <c r="F270" s="81"/>
      <c r="G270" s="6"/>
      <c r="H270" s="60"/>
    </row>
    <row r="271" spans="6:8" ht="13.8">
      <c r="F271" s="81"/>
      <c r="G271" s="6"/>
      <c r="H271" s="60"/>
    </row>
    <row r="272" spans="6:8" ht="13.8">
      <c r="F272" s="81"/>
      <c r="G272" s="6"/>
      <c r="H272" s="60"/>
    </row>
    <row r="273" spans="6:8" ht="13.8">
      <c r="F273" s="81"/>
      <c r="G273" s="6"/>
      <c r="H273" s="60"/>
    </row>
    <row r="274" spans="6:8" ht="13.8">
      <c r="F274" s="81"/>
      <c r="G274" s="6"/>
      <c r="H274" s="60"/>
    </row>
    <row r="275" spans="6:8" ht="13.8">
      <c r="F275" s="81"/>
      <c r="G275" s="6"/>
      <c r="H275" s="60"/>
    </row>
    <row r="276" spans="6:8" ht="13.8">
      <c r="F276" s="81"/>
      <c r="G276" s="6"/>
      <c r="H276" s="60"/>
    </row>
    <row r="277" spans="6:8" ht="13.8">
      <c r="F277" s="81"/>
      <c r="G277" s="6"/>
      <c r="H277" s="60"/>
    </row>
    <row r="278" spans="6:8" ht="13.8">
      <c r="F278" s="81"/>
      <c r="G278" s="6"/>
      <c r="H278" s="60"/>
    </row>
    <row r="279" spans="6:8" ht="13.8">
      <c r="F279" s="81"/>
      <c r="G279" s="6"/>
      <c r="H279" s="60"/>
    </row>
    <row r="280" spans="6:8" ht="13.8">
      <c r="F280" s="81"/>
      <c r="G280" s="6"/>
      <c r="H280" s="60"/>
    </row>
    <row r="281" spans="6:8" ht="13.8">
      <c r="F281" s="81"/>
      <c r="G281" s="6"/>
      <c r="H281" s="60"/>
    </row>
    <row r="282" spans="6:8" ht="13.8">
      <c r="F282" s="81"/>
      <c r="G282" s="6"/>
      <c r="H282" s="60"/>
    </row>
    <row r="283" spans="6:8" ht="13.8">
      <c r="F283" s="81"/>
      <c r="G283" s="6"/>
      <c r="H283" s="60"/>
    </row>
    <row r="284" spans="6:8" ht="13.8">
      <c r="F284" s="81"/>
      <c r="G284" s="6"/>
      <c r="H284" s="60"/>
    </row>
    <row r="285" spans="6:8" ht="13.8">
      <c r="F285" s="81"/>
      <c r="G285" s="6"/>
      <c r="H285" s="60"/>
    </row>
    <row r="286" spans="6:8" ht="13.8">
      <c r="F286" s="81"/>
      <c r="G286" s="6"/>
      <c r="H286" s="60"/>
    </row>
    <row r="287" spans="6:8" ht="13.8">
      <c r="F287" s="81"/>
      <c r="G287" s="6"/>
      <c r="H287" s="60"/>
    </row>
    <row r="288" spans="6:8" ht="13.8">
      <c r="F288" s="81"/>
      <c r="G288" s="6"/>
      <c r="H288" s="60"/>
    </row>
    <row r="289" spans="6:8" ht="13.8">
      <c r="F289" s="81"/>
      <c r="G289" s="6"/>
      <c r="H289" s="60"/>
    </row>
    <row r="290" spans="6:8" ht="13.8">
      <c r="F290" s="81"/>
      <c r="G290" s="6"/>
      <c r="H290" s="60"/>
    </row>
    <row r="291" spans="6:8" ht="13.8">
      <c r="F291" s="81"/>
      <c r="G291" s="6"/>
      <c r="H291" s="60"/>
    </row>
    <row r="292" spans="6:8" ht="13.8">
      <c r="F292" s="81"/>
      <c r="G292" s="6"/>
      <c r="H292" s="60"/>
    </row>
    <row r="293" spans="6:8" ht="13.8">
      <c r="F293" s="81"/>
      <c r="G293" s="6"/>
      <c r="H293" s="60"/>
    </row>
    <row r="294" spans="6:8" ht="13.8">
      <c r="F294" s="81"/>
      <c r="G294" s="6"/>
      <c r="H294" s="60"/>
    </row>
    <row r="295" spans="6:8" ht="13.8">
      <c r="F295" s="81"/>
      <c r="G295" s="6"/>
      <c r="H295" s="60"/>
    </row>
    <row r="296" spans="6:8" ht="13.8">
      <c r="F296" s="81"/>
      <c r="G296" s="6"/>
      <c r="H296" s="60"/>
    </row>
    <row r="297" spans="6:8" ht="13.8">
      <c r="F297" s="81"/>
      <c r="G297" s="6"/>
      <c r="H297" s="60"/>
    </row>
    <row r="298" spans="6:8" ht="13.8">
      <c r="F298" s="81"/>
      <c r="G298" s="6"/>
      <c r="H298" s="60"/>
    </row>
    <row r="299" spans="6:8" ht="13.8">
      <c r="F299" s="81"/>
      <c r="G299" s="6"/>
      <c r="H299" s="60"/>
    </row>
    <row r="300" spans="6:8" ht="13.8">
      <c r="F300" s="81"/>
      <c r="G300" s="6"/>
      <c r="H300" s="60"/>
    </row>
    <row r="301" spans="6:8" ht="13.8">
      <c r="F301" s="81"/>
      <c r="G301" s="6"/>
      <c r="H301" s="60"/>
    </row>
    <row r="302" spans="6:8" ht="13.8">
      <c r="F302" s="81"/>
      <c r="G302" s="6"/>
      <c r="H302" s="60"/>
    </row>
    <row r="303" spans="6:8" ht="13.8">
      <c r="F303" s="81"/>
      <c r="G303" s="6"/>
      <c r="H303" s="60"/>
    </row>
    <row r="304" spans="6:8" ht="13.8">
      <c r="F304" s="81"/>
      <c r="G304" s="6"/>
      <c r="H304" s="60"/>
    </row>
    <row r="305" spans="6:8" ht="13.8">
      <c r="F305" s="81"/>
      <c r="G305" s="6"/>
      <c r="H305" s="60"/>
    </row>
    <row r="306" spans="6:8" ht="13.8">
      <c r="F306" s="81"/>
      <c r="G306" s="6"/>
      <c r="H306" s="60"/>
    </row>
    <row r="307" spans="6:8" ht="13.8">
      <c r="F307" s="81"/>
      <c r="G307" s="6"/>
      <c r="H307" s="60"/>
    </row>
    <row r="308" spans="6:8" ht="13.8">
      <c r="F308" s="81"/>
      <c r="G308" s="6"/>
      <c r="H308" s="60"/>
    </row>
    <row r="309" spans="6:8" ht="13.8">
      <c r="F309" s="81"/>
      <c r="G309" s="6"/>
      <c r="H309" s="60"/>
    </row>
    <row r="310" spans="6:8" ht="13.8">
      <c r="F310" s="81"/>
      <c r="G310" s="6"/>
      <c r="H310" s="60"/>
    </row>
    <row r="311" spans="6:8" ht="13.8">
      <c r="F311" s="81"/>
      <c r="G311" s="6"/>
      <c r="H311" s="60"/>
    </row>
    <row r="312" spans="6:8" ht="13.8">
      <c r="F312" s="81"/>
      <c r="G312" s="6"/>
      <c r="H312" s="60"/>
    </row>
    <row r="313" spans="6:8" ht="13.8">
      <c r="F313" s="81"/>
      <c r="G313" s="6"/>
      <c r="H313" s="60"/>
    </row>
    <row r="314" spans="6:8" ht="13.8">
      <c r="F314" s="81"/>
      <c r="G314" s="6"/>
      <c r="H314" s="60"/>
    </row>
    <row r="315" spans="6:8" ht="13.8">
      <c r="F315" s="81"/>
      <c r="G315" s="6"/>
      <c r="H315" s="60"/>
    </row>
    <row r="316" spans="6:8" ht="13.8">
      <c r="F316" s="81"/>
      <c r="G316" s="6"/>
      <c r="H316" s="60"/>
    </row>
    <row r="317" spans="6:8" ht="13.8">
      <c r="F317" s="81"/>
      <c r="G317" s="6"/>
      <c r="H317" s="60"/>
    </row>
    <row r="318" spans="6:8" ht="13.8">
      <c r="F318" s="81"/>
      <c r="G318" s="6"/>
      <c r="H318" s="60"/>
    </row>
    <row r="319" spans="6:8" ht="13.8">
      <c r="F319" s="81"/>
      <c r="G319" s="6"/>
      <c r="H319" s="60"/>
    </row>
    <row r="320" spans="6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  <row r="455" spans="6:8" ht="13.2"/>
    <row r="456" spans="6:8" ht="13.2"/>
    <row r="457" spans="6:8" ht="13.2"/>
    <row r="458" spans="6:8" ht="13.2"/>
    <row r="459" spans="6:8" ht="13.2"/>
    <row r="460" spans="6:8" ht="13.2"/>
    <row r="461" spans="6:8" ht="13.2"/>
    <row r="462" spans="6:8" ht="13.2"/>
    <row r="463" spans="6:8" ht="13.2"/>
    <row r="464" spans="6:8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</sheetData>
  <autoFilter ref="A5:G249" xr:uid="{00000000-0009-0000-0000-000002000000}"/>
  <mergeCells count="12">
    <mergeCell ref="B2:H5"/>
    <mergeCell ref="B7:D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53091804-1AC4-413E-A2CC-D778C42A95D3}">
          <x14:formula1>
            <xm:f>Categorias!$A:$A</xm:f>
          </x14:formula1>
          <xm:sqref>D13:D254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DAAA-A4AF-4FD6-87B8-904CBB9867A2}">
  <dimension ref="A1:H997"/>
  <sheetViews>
    <sheetView showGridLines="0" topLeftCell="A4" workbookViewId="0">
      <selection activeCell="G7" sqref="G7:H7"/>
    </sheetView>
  </sheetViews>
  <sheetFormatPr defaultColWidth="12.6640625" defaultRowHeight="15" customHeight="1"/>
  <cols>
    <col min="1" max="1" width="5.33203125" style="77" customWidth="1"/>
    <col min="2" max="2" width="13" style="76" bestFit="1" customWidth="1"/>
    <col min="3" max="3" width="33.33203125" style="7" customWidth="1"/>
    <col min="4" max="4" width="23.109375" bestFit="1" customWidth="1"/>
    <col min="5" max="5" width="23.88671875" bestFit="1" customWidth="1"/>
    <col min="6" max="6" width="16.6640625" style="82" customWidth="1"/>
    <col min="7" max="7" width="16" style="3" customWidth="1"/>
    <col min="8" max="8" width="12.88671875" style="59" bestFit="1" customWidth="1"/>
    <col min="9" max="9" width="6.33203125" customWidth="1"/>
  </cols>
  <sheetData>
    <row r="1" spans="1:8" s="8" customFormat="1" ht="4.5" customHeight="1">
      <c r="B1" s="76"/>
      <c r="C1" s="83"/>
      <c r="F1" s="85"/>
      <c r="G1" s="63"/>
    </row>
    <row r="2" spans="1:8" ht="12.75" customHeight="1">
      <c r="B2" s="137" t="s">
        <v>45</v>
      </c>
      <c r="C2" s="138"/>
      <c r="D2" s="138"/>
      <c r="E2" s="138"/>
      <c r="F2" s="138"/>
      <c r="G2" s="138"/>
      <c r="H2" s="138"/>
    </row>
    <row r="3" spans="1:8" ht="12.75" customHeight="1">
      <c r="B3" s="137"/>
      <c r="C3" s="138"/>
      <c r="D3" s="138"/>
      <c r="E3" s="138"/>
      <c r="F3" s="138"/>
      <c r="G3" s="138"/>
      <c r="H3" s="138"/>
    </row>
    <row r="4" spans="1:8" ht="12.75" customHeight="1">
      <c r="B4" s="137"/>
      <c r="C4" s="138"/>
      <c r="D4" s="138"/>
      <c r="E4" s="138"/>
      <c r="F4" s="138"/>
      <c r="G4" s="138"/>
      <c r="H4" s="138"/>
    </row>
    <row r="5" spans="1:8" ht="12.75" customHeight="1">
      <c r="B5" s="139"/>
      <c r="C5" s="140"/>
      <c r="D5" s="140"/>
      <c r="E5" s="140"/>
      <c r="F5" s="140"/>
      <c r="G5" s="140"/>
      <c r="H5" s="140"/>
    </row>
    <row r="6" spans="1:8" s="8" customFormat="1" ht="3.75" customHeight="1">
      <c r="B6" s="76"/>
      <c r="C6" s="83"/>
      <c r="F6" s="85"/>
      <c r="G6" s="63"/>
    </row>
    <row r="7" spans="1:8" ht="21">
      <c r="A7" s="61"/>
      <c r="B7" s="149" t="s">
        <v>95</v>
      </c>
      <c r="C7" s="150"/>
      <c r="D7" s="150"/>
      <c r="E7" s="71"/>
      <c r="F7" s="71"/>
      <c r="G7" s="135">
        <f>D8+D9+D10+G8+G9+G10</f>
        <v>0</v>
      </c>
      <c r="H7" s="136"/>
    </row>
    <row r="8" spans="1:8" ht="15.6">
      <c r="A8" s="61"/>
      <c r="B8" s="148" t="s">
        <v>90</v>
      </c>
      <c r="C8" s="148"/>
      <c r="D8" s="65"/>
      <c r="E8" s="147" t="s">
        <v>93</v>
      </c>
      <c r="F8" s="148"/>
      <c r="G8" s="141"/>
      <c r="H8" s="142"/>
    </row>
    <row r="9" spans="1:8" ht="15.6">
      <c r="A9" s="61"/>
      <c r="B9" s="146" t="s">
        <v>91</v>
      </c>
      <c r="C9" s="146"/>
      <c r="D9" s="64"/>
      <c r="E9" s="145" t="s">
        <v>94</v>
      </c>
      <c r="F9" s="146"/>
      <c r="G9" s="143"/>
      <c r="H9" s="144"/>
    </row>
    <row r="10" spans="1:8" s="8" customFormat="1" ht="15.6">
      <c r="A10" s="61"/>
      <c r="B10" s="148" t="s">
        <v>92</v>
      </c>
      <c r="C10" s="148"/>
      <c r="D10" s="65"/>
      <c r="E10" s="145" t="s">
        <v>96</v>
      </c>
      <c r="F10" s="146"/>
      <c r="G10" s="141"/>
      <c r="H10" s="142"/>
    </row>
    <row r="11" spans="1:8" s="8" customFormat="1" ht="4.5" customHeight="1">
      <c r="B11" s="76"/>
      <c r="C11" s="83"/>
      <c r="F11" s="84"/>
      <c r="G11" s="84"/>
    </row>
    <row r="12" spans="1:8" ht="18">
      <c r="B12" s="67" t="s">
        <v>28</v>
      </c>
      <c r="C12" s="66" t="s">
        <v>29</v>
      </c>
      <c r="D12" s="66" t="s">
        <v>30</v>
      </c>
      <c r="E12" s="66" t="s">
        <v>18</v>
      </c>
      <c r="F12" s="66" t="s">
        <v>31</v>
      </c>
      <c r="G12" s="66" t="s">
        <v>32</v>
      </c>
      <c r="H12" s="72" t="s">
        <v>33</v>
      </c>
    </row>
    <row r="13" spans="1:8" ht="13.8">
      <c r="B13" s="74"/>
      <c r="C13" s="68"/>
      <c r="D13" s="1"/>
      <c r="E13" s="62" t="str">
        <f>IF(ISERROR(VLOOKUP(D13,Categorias!A:B,2,0)),"",VLOOKUP(D13,Categorias!A:B,2,0))</f>
        <v/>
      </c>
      <c r="F13" s="80"/>
      <c r="G13" s="5"/>
      <c r="H13" s="78">
        <f>G7+F13-G13</f>
        <v>0</v>
      </c>
    </row>
    <row r="14" spans="1:8" ht="9.75" customHeight="1">
      <c r="B14" s="74"/>
      <c r="C14" s="68"/>
      <c r="D14" s="1"/>
      <c r="E14" s="1" t="str">
        <f>IF(ISERROR(VLOOKUP(D14,Categorias!A:B,2,0)),"",VLOOKUP(D14,Categorias!A:B,2,0))</f>
        <v/>
      </c>
      <c r="F14" s="80"/>
      <c r="G14" s="5"/>
      <c r="H14" s="79">
        <f t="shared" ref="H14:H77" si="0">H13+F14-G14</f>
        <v>0</v>
      </c>
    </row>
    <row r="15" spans="1:8" ht="13.8">
      <c r="B15" s="74"/>
      <c r="C15" s="68"/>
      <c r="D15" s="1"/>
      <c r="E15" s="1" t="str">
        <f>IF(ISERROR(VLOOKUP(D15,Categorias!A:B,2,0)),"",VLOOKUP(D15,Categorias!A:B,2,0))</f>
        <v/>
      </c>
      <c r="F15" s="80"/>
      <c r="G15" s="5"/>
      <c r="H15" s="79">
        <f t="shared" si="0"/>
        <v>0</v>
      </c>
    </row>
    <row r="16" spans="1:8" ht="13.8">
      <c r="B16" s="74"/>
      <c r="C16" s="68"/>
      <c r="D16" s="1"/>
      <c r="E16" s="1" t="str">
        <f>IF(ISERROR(VLOOKUP(D16,Categorias!A:B,2,0)),"",VLOOKUP(D16,Categorias!A:B,2,0))</f>
        <v/>
      </c>
      <c r="F16" s="80"/>
      <c r="G16" s="5"/>
      <c r="H16" s="79">
        <f t="shared" si="0"/>
        <v>0</v>
      </c>
    </row>
    <row r="17" spans="2:8" ht="13.8">
      <c r="B17" s="74"/>
      <c r="C17" s="68"/>
      <c r="D17" s="1"/>
      <c r="E17" s="1" t="str">
        <f>IF(ISERROR(VLOOKUP(D17,Categorias!A:B,2,0)),"",VLOOKUP(D17,Categorias!A:B,2,0))</f>
        <v/>
      </c>
      <c r="F17" s="80"/>
      <c r="G17" s="5"/>
      <c r="H17" s="79">
        <f t="shared" si="0"/>
        <v>0</v>
      </c>
    </row>
    <row r="18" spans="2:8" ht="13.8">
      <c r="B18" s="74"/>
      <c r="C18" s="68"/>
      <c r="D18" s="1"/>
      <c r="E18" s="1" t="str">
        <f>IF(ISERROR(VLOOKUP(D18,Categorias!A:B,2,0)),"",VLOOKUP(D18,Categorias!A:B,2,0))</f>
        <v/>
      </c>
      <c r="F18" s="80"/>
      <c r="G18" s="5"/>
      <c r="H18" s="79">
        <f t="shared" si="0"/>
        <v>0</v>
      </c>
    </row>
    <row r="19" spans="2:8" ht="13.8">
      <c r="B19" s="74"/>
      <c r="C19" s="68"/>
      <c r="D19" s="1"/>
      <c r="E19" s="1" t="str">
        <f>IF(ISERROR(VLOOKUP(D19,Categorias!A:B,2,0)),"",VLOOKUP(D19,Categorias!A:B,2,0))</f>
        <v/>
      </c>
      <c r="F19" s="80"/>
      <c r="G19" s="5"/>
      <c r="H19" s="79">
        <f t="shared" si="0"/>
        <v>0</v>
      </c>
    </row>
    <row r="20" spans="2:8" ht="13.8">
      <c r="B20" s="74"/>
      <c r="C20" s="68"/>
      <c r="D20" s="1"/>
      <c r="E20" s="1" t="str">
        <f>IF(ISERROR(VLOOKUP(D20,Categorias!A:B,2,0)),"",VLOOKUP(D20,Categorias!A:B,2,0))</f>
        <v/>
      </c>
      <c r="F20" s="80"/>
      <c r="G20" s="5"/>
      <c r="H20" s="79">
        <f t="shared" si="0"/>
        <v>0</v>
      </c>
    </row>
    <row r="21" spans="2:8" ht="13.8">
      <c r="B21" s="74"/>
      <c r="C21" s="68"/>
      <c r="D21" s="1"/>
      <c r="E21" s="1" t="str">
        <f>IF(ISERROR(VLOOKUP(D21,Categorias!A:B,2,0)),"",VLOOKUP(D21,Categorias!A:B,2,0))</f>
        <v/>
      </c>
      <c r="F21" s="80"/>
      <c r="G21" s="5"/>
      <c r="H21" s="79">
        <f t="shared" si="0"/>
        <v>0</v>
      </c>
    </row>
    <row r="22" spans="2:8" ht="13.8">
      <c r="B22" s="74"/>
      <c r="C22" s="68"/>
      <c r="D22" s="1"/>
      <c r="E22" s="1" t="str">
        <f>IF(ISERROR(VLOOKUP(D22,Categorias!A:B,2,0)),"",VLOOKUP(D22,Categorias!A:B,2,0))</f>
        <v/>
      </c>
      <c r="F22" s="80"/>
      <c r="G22" s="5"/>
      <c r="H22" s="79">
        <f t="shared" si="0"/>
        <v>0</v>
      </c>
    </row>
    <row r="23" spans="2:8" ht="13.8">
      <c r="B23" s="74"/>
      <c r="C23" s="68"/>
      <c r="D23" s="1"/>
      <c r="E23" s="1" t="str">
        <f>IF(ISERROR(VLOOKUP(D23,Categorias!A:B,2,0)),"",VLOOKUP(D23,Categorias!A:B,2,0))</f>
        <v/>
      </c>
      <c r="F23" s="80"/>
      <c r="G23" s="5"/>
      <c r="H23" s="79">
        <f t="shared" si="0"/>
        <v>0</v>
      </c>
    </row>
    <row r="24" spans="2:8" ht="13.8">
      <c r="B24" s="74"/>
      <c r="C24" s="68"/>
      <c r="D24" s="1"/>
      <c r="E24" s="1" t="str">
        <f>IF(ISERROR(VLOOKUP(D24,Categorias!A:B,2,0)),"",VLOOKUP(D24,Categorias!A:B,2,0))</f>
        <v/>
      </c>
      <c r="F24" s="80"/>
      <c r="G24" s="5"/>
      <c r="H24" s="79">
        <f t="shared" si="0"/>
        <v>0</v>
      </c>
    </row>
    <row r="25" spans="2:8" ht="13.8">
      <c r="B25" s="74"/>
      <c r="C25" s="68"/>
      <c r="D25" s="1"/>
      <c r="E25" s="1" t="str">
        <f>IF(ISERROR(VLOOKUP(D25,Categorias!A:B,2,0)),"",VLOOKUP(D25,Categorias!A:B,2,0))</f>
        <v/>
      </c>
      <c r="F25" s="80"/>
      <c r="G25" s="5"/>
      <c r="H25" s="79">
        <f t="shared" si="0"/>
        <v>0</v>
      </c>
    </row>
    <row r="26" spans="2:8" ht="13.8">
      <c r="B26" s="74"/>
      <c r="C26" s="68"/>
      <c r="D26" s="1"/>
      <c r="E26" s="1" t="str">
        <f>IF(ISERROR(VLOOKUP(D26,Categorias!A:B,2,0)),"",VLOOKUP(D26,Categorias!A:B,2,0))</f>
        <v/>
      </c>
      <c r="F26" s="80"/>
      <c r="G26" s="5"/>
      <c r="H26" s="79">
        <f t="shared" si="0"/>
        <v>0</v>
      </c>
    </row>
    <row r="27" spans="2:8" ht="13.8">
      <c r="B27" s="74"/>
      <c r="C27" s="68"/>
      <c r="D27" s="1"/>
      <c r="E27" s="1" t="str">
        <f>IF(ISERROR(VLOOKUP(D27,Categorias!A:B,2,0)),"",VLOOKUP(D27,Categorias!A:B,2,0))</f>
        <v/>
      </c>
      <c r="F27" s="80"/>
      <c r="G27" s="5"/>
      <c r="H27" s="79">
        <f t="shared" si="0"/>
        <v>0</v>
      </c>
    </row>
    <row r="28" spans="2:8" ht="13.8">
      <c r="B28" s="74"/>
      <c r="C28" s="68"/>
      <c r="D28" s="1"/>
      <c r="E28" s="1" t="str">
        <f>IF(ISERROR(VLOOKUP(D28,Categorias!A:B,2,0)),"",VLOOKUP(D28,Categorias!A:B,2,0))</f>
        <v/>
      </c>
      <c r="F28" s="80"/>
      <c r="G28" s="5"/>
      <c r="H28" s="79">
        <f t="shared" si="0"/>
        <v>0</v>
      </c>
    </row>
    <row r="29" spans="2:8" ht="13.8">
      <c r="B29" s="74"/>
      <c r="C29" s="68"/>
      <c r="D29" s="1"/>
      <c r="E29" s="1" t="str">
        <f>IF(ISERROR(VLOOKUP(D29,Categorias!A:B,2,0)),"",VLOOKUP(D29,Categorias!A:B,2,0))</f>
        <v/>
      </c>
      <c r="F29" s="80"/>
      <c r="G29" s="5"/>
      <c r="H29" s="79">
        <f t="shared" si="0"/>
        <v>0</v>
      </c>
    </row>
    <row r="30" spans="2:8" ht="13.8">
      <c r="B30" s="75"/>
      <c r="C30" s="68"/>
      <c r="D30" s="1"/>
      <c r="E30" s="1" t="str">
        <f>IF(ISERROR(VLOOKUP(D30,Categorias!A:B,2,0)),"",VLOOKUP(D30,Categorias!A:B,2,0))</f>
        <v/>
      </c>
      <c r="F30" s="80"/>
      <c r="G30" s="5"/>
      <c r="H30" s="79">
        <f t="shared" si="0"/>
        <v>0</v>
      </c>
    </row>
    <row r="31" spans="2:8" ht="13.8">
      <c r="B31" s="75"/>
      <c r="C31" s="68"/>
      <c r="D31" s="1"/>
      <c r="E31" s="1" t="str">
        <f>IF(ISERROR(VLOOKUP(D31,Categorias!A:B,2,0)),"",VLOOKUP(D31,Categorias!A:B,2,0))</f>
        <v/>
      </c>
      <c r="F31" s="80"/>
      <c r="G31" s="5"/>
      <c r="H31" s="73">
        <f t="shared" si="0"/>
        <v>0</v>
      </c>
    </row>
    <row r="32" spans="2:8" ht="13.8">
      <c r="B32" s="75"/>
      <c r="C32" s="70"/>
      <c r="D32" s="1"/>
      <c r="E32" s="1" t="str">
        <f>IF(ISERROR(VLOOKUP(D32,Categorias!A:B,2,0)),"",VLOOKUP(D32,Categorias!A:B,2,0))</f>
        <v/>
      </c>
      <c r="F32" s="80"/>
      <c r="G32" s="5"/>
      <c r="H32" s="73">
        <f t="shared" si="0"/>
        <v>0</v>
      </c>
    </row>
    <row r="33" spans="2:8" ht="13.8">
      <c r="B33" s="75"/>
      <c r="C33" s="70"/>
      <c r="D33" s="1"/>
      <c r="E33" s="1" t="str">
        <f>IF(ISERROR(VLOOKUP(D33,Categorias!A:B,2,0)),"",VLOOKUP(D33,Categorias!A:B,2,0))</f>
        <v/>
      </c>
      <c r="F33" s="80"/>
      <c r="G33" s="5"/>
      <c r="H33" s="73">
        <f t="shared" si="0"/>
        <v>0</v>
      </c>
    </row>
    <row r="34" spans="2:8" ht="13.8">
      <c r="B34" s="75"/>
      <c r="C34" s="70"/>
      <c r="D34" s="1"/>
      <c r="E34" s="1" t="str">
        <f>IF(ISERROR(VLOOKUP(D34,Categorias!A:B,2,0)),"",VLOOKUP(D34,Categorias!A:B,2,0))</f>
        <v/>
      </c>
      <c r="F34" s="80"/>
      <c r="G34" s="5"/>
      <c r="H34" s="73">
        <f t="shared" si="0"/>
        <v>0</v>
      </c>
    </row>
    <row r="35" spans="2:8" ht="13.8">
      <c r="B35" s="75"/>
      <c r="C35" s="70"/>
      <c r="D35" s="1"/>
      <c r="E35" s="1" t="str">
        <f>IF(ISERROR(VLOOKUP(D35,Categorias!A:B,2,0)),"",VLOOKUP(D35,Categorias!A:B,2,0))</f>
        <v/>
      </c>
      <c r="F35" s="80"/>
      <c r="G35" s="5"/>
      <c r="H35" s="73">
        <f t="shared" si="0"/>
        <v>0</v>
      </c>
    </row>
    <row r="36" spans="2:8" ht="13.8">
      <c r="B36" s="75"/>
      <c r="C36" s="70"/>
      <c r="D36" s="1"/>
      <c r="E36" s="1" t="str">
        <f>IF(ISERROR(VLOOKUP(D36,Categorias!A:B,2,0)),"",VLOOKUP(D36,Categorias!A:B,2,0))</f>
        <v/>
      </c>
      <c r="F36" s="80"/>
      <c r="G36" s="5"/>
      <c r="H36" s="73">
        <f t="shared" si="0"/>
        <v>0</v>
      </c>
    </row>
    <row r="37" spans="2:8" ht="13.8">
      <c r="B37" s="75"/>
      <c r="C37" s="70"/>
      <c r="D37" s="1"/>
      <c r="E37" s="1" t="str">
        <f>IF(ISERROR(VLOOKUP(D37,Categorias!A:B,2,0)),"",VLOOKUP(D37,Categorias!A:B,2,0))</f>
        <v/>
      </c>
      <c r="F37" s="80"/>
      <c r="G37" s="5"/>
      <c r="H37" s="73">
        <f t="shared" si="0"/>
        <v>0</v>
      </c>
    </row>
    <row r="38" spans="2:8" ht="13.8">
      <c r="B38" s="75"/>
      <c r="C38" s="69"/>
      <c r="D38" s="1"/>
      <c r="E38" s="1" t="str">
        <f>IF(ISERROR(VLOOKUP(D38,Categorias!A:B,2,0)),"",VLOOKUP(D38,Categorias!A:B,2,0))</f>
        <v/>
      </c>
      <c r="F38" s="80"/>
      <c r="G38" s="5"/>
      <c r="H38" s="73">
        <f t="shared" si="0"/>
        <v>0</v>
      </c>
    </row>
    <row r="39" spans="2:8" ht="13.8">
      <c r="B39" s="75"/>
      <c r="C39" s="70"/>
      <c r="D39" s="1"/>
      <c r="E39" s="1" t="str">
        <f>IF(ISERROR(VLOOKUP(D39,Categorias!A:B,2,0)),"",VLOOKUP(D39,Categorias!A:B,2,0))</f>
        <v/>
      </c>
      <c r="F39" s="80"/>
      <c r="G39" s="5"/>
      <c r="H39" s="73">
        <f t="shared" si="0"/>
        <v>0</v>
      </c>
    </row>
    <row r="40" spans="2:8" ht="13.8">
      <c r="B40" s="75"/>
      <c r="C40" s="70"/>
      <c r="D40" s="1"/>
      <c r="E40" s="1" t="str">
        <f>IF(ISERROR(VLOOKUP(D40,Categorias!A:B,2,0)),"",VLOOKUP(D40,Categorias!A:B,2,0))</f>
        <v/>
      </c>
      <c r="F40" s="80"/>
      <c r="G40" s="5"/>
      <c r="H40" s="73">
        <f t="shared" si="0"/>
        <v>0</v>
      </c>
    </row>
    <row r="41" spans="2:8" ht="13.8">
      <c r="B41" s="75"/>
      <c r="C41" s="70"/>
      <c r="D41" s="1"/>
      <c r="E41" s="1" t="str">
        <f>IF(ISERROR(VLOOKUP(D41,Categorias!A:B,2,0)),"",VLOOKUP(D41,Categorias!A:B,2,0))</f>
        <v/>
      </c>
      <c r="F41" s="80"/>
      <c r="G41" s="5"/>
      <c r="H41" s="73">
        <f t="shared" si="0"/>
        <v>0</v>
      </c>
    </row>
    <row r="42" spans="2:8" ht="13.8">
      <c r="B42" s="75"/>
      <c r="C42" s="70"/>
      <c r="D42" s="1"/>
      <c r="E42" s="1" t="str">
        <f>IF(ISERROR(VLOOKUP(D42,Categorias!A:B,2,0)),"",VLOOKUP(D42,Categorias!A:B,2,0))</f>
        <v/>
      </c>
      <c r="F42" s="80"/>
      <c r="G42" s="5"/>
      <c r="H42" s="73">
        <f t="shared" si="0"/>
        <v>0</v>
      </c>
    </row>
    <row r="43" spans="2:8" ht="13.8">
      <c r="B43" s="75"/>
      <c r="C43" s="70"/>
      <c r="D43" s="1"/>
      <c r="E43" s="1" t="str">
        <f>IF(ISERROR(VLOOKUP(D43,Categorias!A:B,2,0)),"",VLOOKUP(D43,Categorias!A:B,2,0))</f>
        <v/>
      </c>
      <c r="F43" s="80"/>
      <c r="G43" s="5"/>
      <c r="H43" s="73">
        <f t="shared" si="0"/>
        <v>0</v>
      </c>
    </row>
    <row r="44" spans="2:8" ht="13.8">
      <c r="B44" s="75"/>
      <c r="D44" s="1"/>
      <c r="E44" s="1"/>
      <c r="F44" s="80"/>
      <c r="G44" s="5"/>
      <c r="H44" s="73">
        <f t="shared" si="0"/>
        <v>0</v>
      </c>
    </row>
    <row r="45" spans="2:8" ht="13.8">
      <c r="B45" s="75"/>
      <c r="D45" s="1"/>
      <c r="E45" s="1" t="str">
        <f>IF(ISERROR(VLOOKUP(D45,Categorias!A:B,2,0)),"",VLOOKUP(D45,Categorias!A:B,2,0))</f>
        <v/>
      </c>
      <c r="F45" s="80"/>
      <c r="G45" s="5"/>
      <c r="H45" s="73">
        <f t="shared" si="0"/>
        <v>0</v>
      </c>
    </row>
    <row r="46" spans="2:8" ht="13.8">
      <c r="B46" s="75"/>
      <c r="D46" s="1"/>
      <c r="E46" s="1" t="str">
        <f>IF(ISERROR(VLOOKUP(D46,Categorias!A:B,2,0)),"",VLOOKUP(D46,Categorias!A:B,2,0))</f>
        <v/>
      </c>
      <c r="F46" s="80"/>
      <c r="G46" s="5"/>
      <c r="H46" s="73">
        <f t="shared" si="0"/>
        <v>0</v>
      </c>
    </row>
    <row r="47" spans="2:8" ht="13.8">
      <c r="B47" s="75"/>
      <c r="D47" s="1"/>
      <c r="E47" s="1" t="str">
        <f>IF(ISERROR(VLOOKUP(D47,Categorias!A:B,2,0)),"",VLOOKUP(D47,Categorias!A:B,2,0))</f>
        <v/>
      </c>
      <c r="F47" s="80"/>
      <c r="G47" s="5"/>
      <c r="H47" s="73">
        <f t="shared" si="0"/>
        <v>0</v>
      </c>
    </row>
    <row r="48" spans="2:8" ht="13.8">
      <c r="B48" s="75"/>
      <c r="D48" s="1"/>
      <c r="E48" s="1" t="str">
        <f>IF(ISERROR(VLOOKUP(D48,Categorias!A:B,2,0)),"",VLOOKUP(D48,Categorias!A:B,2,0))</f>
        <v/>
      </c>
      <c r="F48" s="80"/>
      <c r="G48" s="5"/>
      <c r="H48" s="73">
        <f t="shared" si="0"/>
        <v>0</v>
      </c>
    </row>
    <row r="49" spans="2:8" ht="13.8">
      <c r="B49" s="75"/>
      <c r="D49" s="1"/>
      <c r="E49" s="1" t="str">
        <f>IF(ISERROR(VLOOKUP(D49,Categorias!A:B,2,0)),"",VLOOKUP(D49,Categorias!A:B,2,0))</f>
        <v/>
      </c>
      <c r="F49" s="80"/>
      <c r="G49" s="5"/>
      <c r="H49" s="73">
        <f t="shared" si="0"/>
        <v>0</v>
      </c>
    </row>
    <row r="50" spans="2:8" ht="13.8">
      <c r="B50" s="75"/>
      <c r="D50" s="1"/>
      <c r="E50" s="1" t="str">
        <f>IF(ISERROR(VLOOKUP(D50,Categorias!A:B,2,0)),"",VLOOKUP(D50,Categorias!A:B,2,0))</f>
        <v/>
      </c>
      <c r="F50" s="80"/>
      <c r="G50" s="5"/>
      <c r="H50" s="73">
        <f t="shared" si="0"/>
        <v>0</v>
      </c>
    </row>
    <row r="51" spans="2:8" ht="13.8">
      <c r="B51" s="75"/>
      <c r="D51" s="1"/>
      <c r="E51" s="1" t="str">
        <f>IF(ISERROR(VLOOKUP(D51,Categorias!A:B,2,0)),"",VLOOKUP(D51,Categorias!A:B,2,0))</f>
        <v/>
      </c>
      <c r="F51" s="80"/>
      <c r="G51" s="5"/>
      <c r="H51" s="73">
        <f t="shared" si="0"/>
        <v>0</v>
      </c>
    </row>
    <row r="52" spans="2:8" ht="13.8">
      <c r="B52" s="75"/>
      <c r="D52" s="1"/>
      <c r="E52" s="1" t="str">
        <f>IF(ISERROR(VLOOKUP(D52,Categorias!A:B,2,0)),"",VLOOKUP(D52,Categorias!A:B,2,0))</f>
        <v/>
      </c>
      <c r="F52" s="80"/>
      <c r="G52" s="5"/>
      <c r="H52" s="73">
        <f t="shared" si="0"/>
        <v>0</v>
      </c>
    </row>
    <row r="53" spans="2:8" ht="13.8">
      <c r="B53" s="75"/>
      <c r="D53" s="1"/>
      <c r="E53" s="1" t="str">
        <f>IF(ISERROR(VLOOKUP(D53,Categorias!A:B,2,0)),"",VLOOKUP(D53,Categorias!A:B,2,0))</f>
        <v/>
      </c>
      <c r="F53" s="80"/>
      <c r="G53" s="5"/>
      <c r="H53" s="73">
        <f t="shared" si="0"/>
        <v>0</v>
      </c>
    </row>
    <row r="54" spans="2:8" ht="13.8">
      <c r="B54" s="75"/>
      <c r="D54" s="1"/>
      <c r="E54" s="1" t="str">
        <f>IF(ISERROR(VLOOKUP(D54,Categorias!A:B,2,0)),"",VLOOKUP(D54,Categorias!A:B,2,0))</f>
        <v/>
      </c>
      <c r="F54" s="80"/>
      <c r="G54" s="5"/>
      <c r="H54" s="73">
        <f t="shared" si="0"/>
        <v>0</v>
      </c>
    </row>
    <row r="55" spans="2:8" ht="13.8">
      <c r="B55" s="75"/>
      <c r="D55" s="1"/>
      <c r="E55" s="1" t="str">
        <f>IF(ISERROR(VLOOKUP(D55,Categorias!A:B,2,0)),"",VLOOKUP(D55,Categorias!A:B,2,0))</f>
        <v/>
      </c>
      <c r="F55" s="80"/>
      <c r="G55" s="5"/>
      <c r="H55" s="73">
        <f t="shared" si="0"/>
        <v>0</v>
      </c>
    </row>
    <row r="56" spans="2:8" ht="13.8">
      <c r="B56" s="75"/>
      <c r="D56" s="1"/>
      <c r="E56" s="1" t="str">
        <f>IF(ISERROR(VLOOKUP(D56,Categorias!A:B,2,0)),"",VLOOKUP(D56,Categorias!A:B,2,0))</f>
        <v/>
      </c>
      <c r="F56" s="80"/>
      <c r="G56" s="5"/>
      <c r="H56" s="73">
        <f t="shared" si="0"/>
        <v>0</v>
      </c>
    </row>
    <row r="57" spans="2:8" ht="13.8">
      <c r="B57" s="75"/>
      <c r="D57" s="1"/>
      <c r="E57" s="1" t="str">
        <f>IF(ISERROR(VLOOKUP(D57,Categorias!A:B,2,0)),"",VLOOKUP(D57,Categorias!A:B,2,0))</f>
        <v/>
      </c>
      <c r="F57" s="80"/>
      <c r="G57" s="5"/>
      <c r="H57" s="73">
        <f t="shared" si="0"/>
        <v>0</v>
      </c>
    </row>
    <row r="58" spans="2:8" ht="13.8">
      <c r="D58" s="1"/>
      <c r="E58" s="1" t="str">
        <f>IF(ISERROR(VLOOKUP(D58,Categorias!A:B,2,0)),"",VLOOKUP(D58,Categorias!A:B,2,0))</f>
        <v/>
      </c>
      <c r="F58" s="80"/>
      <c r="G58" s="5"/>
      <c r="H58" s="73">
        <f t="shared" si="0"/>
        <v>0</v>
      </c>
    </row>
    <row r="59" spans="2:8" ht="13.8">
      <c r="D59" s="1"/>
      <c r="E59" s="1" t="str">
        <f>IF(ISERROR(VLOOKUP(D59,Categorias!A:B,2,0)),"",VLOOKUP(D59,Categorias!A:B,2,0))</f>
        <v/>
      </c>
      <c r="F59" s="80"/>
      <c r="G59" s="5"/>
      <c r="H59" s="73">
        <f t="shared" si="0"/>
        <v>0</v>
      </c>
    </row>
    <row r="60" spans="2:8" ht="13.8">
      <c r="D60" s="1"/>
      <c r="E60" s="1" t="str">
        <f>IF(ISERROR(VLOOKUP(D60,Categorias!A:B,2,0)),"",VLOOKUP(D60,Categorias!A:B,2,0))</f>
        <v/>
      </c>
      <c r="F60" s="80"/>
      <c r="G60" s="5"/>
      <c r="H60" s="73">
        <f t="shared" si="0"/>
        <v>0</v>
      </c>
    </row>
    <row r="61" spans="2:8" ht="13.8">
      <c r="D61" s="1"/>
      <c r="E61" s="1" t="str">
        <f>IF(ISERROR(VLOOKUP(D61,Categorias!A:B,2,0)),"",VLOOKUP(D61,Categorias!A:B,2,0))</f>
        <v/>
      </c>
      <c r="F61" s="80"/>
      <c r="G61" s="5"/>
      <c r="H61" s="73">
        <f t="shared" si="0"/>
        <v>0</v>
      </c>
    </row>
    <row r="62" spans="2:8" ht="13.8">
      <c r="D62" s="1"/>
      <c r="E62" s="1" t="str">
        <f>IF(ISERROR(VLOOKUP(D62,Categorias!A:B,2,0)),"",VLOOKUP(D62,Categorias!A:B,2,0))</f>
        <v/>
      </c>
      <c r="F62" s="80"/>
      <c r="G62" s="5"/>
      <c r="H62" s="73">
        <f t="shared" si="0"/>
        <v>0</v>
      </c>
    </row>
    <row r="63" spans="2:8" ht="13.8">
      <c r="D63" s="1"/>
      <c r="E63" s="1" t="str">
        <f>IF(ISERROR(VLOOKUP(D63,Categorias!A:B,2,0)),"",VLOOKUP(D63,Categorias!A:B,2,0))</f>
        <v/>
      </c>
      <c r="F63" s="80"/>
      <c r="G63" s="5"/>
      <c r="H63" s="73">
        <f t="shared" si="0"/>
        <v>0</v>
      </c>
    </row>
    <row r="64" spans="2:8" ht="13.8">
      <c r="D64" s="1"/>
      <c r="E64" s="1" t="str">
        <f>IF(ISERROR(VLOOKUP(D64,Categorias!A:B,2,0)),"",VLOOKUP(D64,Categorias!A:B,2,0))</f>
        <v/>
      </c>
      <c r="F64" s="80"/>
      <c r="G64" s="5"/>
      <c r="H64" s="73">
        <f t="shared" si="0"/>
        <v>0</v>
      </c>
    </row>
    <row r="65" spans="4:8" ht="13.8">
      <c r="D65" s="1"/>
      <c r="E65" s="1" t="str">
        <f>IF(ISERROR(VLOOKUP(D65,Categorias!A:B,2,0)),"",VLOOKUP(D65,Categorias!A:B,2,0))</f>
        <v/>
      </c>
      <c r="F65" s="80"/>
      <c r="G65" s="5"/>
      <c r="H65" s="73">
        <f t="shared" si="0"/>
        <v>0</v>
      </c>
    </row>
    <row r="66" spans="4:8" ht="13.8">
      <c r="D66" s="1"/>
      <c r="E66" s="1" t="str">
        <f>IF(ISERROR(VLOOKUP(D66,Categorias!A:B,2,0)),"",VLOOKUP(D66,Categorias!A:B,2,0))</f>
        <v/>
      </c>
      <c r="F66" s="80"/>
      <c r="G66" s="5"/>
      <c r="H66" s="73">
        <f t="shared" si="0"/>
        <v>0</v>
      </c>
    </row>
    <row r="67" spans="4:8" ht="13.8">
      <c r="D67" s="1"/>
      <c r="E67" s="1" t="str">
        <f>IF(ISERROR(VLOOKUP(D67,Categorias!A:B,2,0)),"",VLOOKUP(D67,Categorias!A:B,2,0))</f>
        <v/>
      </c>
      <c r="F67" s="80"/>
      <c r="G67" s="5"/>
      <c r="H67" s="73">
        <f t="shared" si="0"/>
        <v>0</v>
      </c>
    </row>
    <row r="68" spans="4:8" ht="13.8">
      <c r="D68" s="1"/>
      <c r="E68" s="1" t="str">
        <f>IF(ISERROR(VLOOKUP(D68,Categorias!A:B,2,0)),"",VLOOKUP(D68,Categorias!A:B,2,0))</f>
        <v/>
      </c>
      <c r="F68" s="80"/>
      <c r="G68" s="5"/>
      <c r="H68" s="73">
        <f t="shared" si="0"/>
        <v>0</v>
      </c>
    </row>
    <row r="69" spans="4:8" ht="13.8">
      <c r="D69" s="1"/>
      <c r="E69" s="1" t="str">
        <f>IF(ISERROR(VLOOKUP(D69,Categorias!A:B,2,0)),"",VLOOKUP(D69,Categorias!A:B,2,0))</f>
        <v/>
      </c>
      <c r="F69" s="80"/>
      <c r="G69" s="5"/>
      <c r="H69" s="73">
        <f t="shared" si="0"/>
        <v>0</v>
      </c>
    </row>
    <row r="70" spans="4:8" ht="13.8">
      <c r="D70" s="1"/>
      <c r="E70" s="1" t="str">
        <f>IF(ISERROR(VLOOKUP(D70,Categorias!A:B,2,0)),"",VLOOKUP(D70,Categorias!A:B,2,0))</f>
        <v/>
      </c>
      <c r="F70" s="80"/>
      <c r="G70" s="5"/>
      <c r="H70" s="73">
        <f t="shared" si="0"/>
        <v>0</v>
      </c>
    </row>
    <row r="71" spans="4:8" ht="13.8">
      <c r="D71" s="1"/>
      <c r="E71" s="1" t="str">
        <f>IF(ISERROR(VLOOKUP(D71,Categorias!A:B,2,0)),"",VLOOKUP(D71,Categorias!A:B,2,0))</f>
        <v/>
      </c>
      <c r="F71" s="80"/>
      <c r="G71" s="5"/>
      <c r="H71" s="73">
        <f t="shared" si="0"/>
        <v>0</v>
      </c>
    </row>
    <row r="72" spans="4:8" ht="13.8">
      <c r="D72" s="1"/>
      <c r="E72" s="1" t="str">
        <f>IF(ISERROR(VLOOKUP(D72,Categorias!A:B,2,0)),"",VLOOKUP(D72,Categorias!A:B,2,0))</f>
        <v/>
      </c>
      <c r="F72" s="80"/>
      <c r="G72" s="5"/>
      <c r="H72" s="73">
        <f t="shared" si="0"/>
        <v>0</v>
      </c>
    </row>
    <row r="73" spans="4:8" ht="13.8">
      <c r="D73" s="1"/>
      <c r="E73" s="1" t="str">
        <f>IF(ISERROR(VLOOKUP(D73,Categorias!A:B,2,0)),"",VLOOKUP(D73,Categorias!A:B,2,0))</f>
        <v/>
      </c>
      <c r="F73" s="80"/>
      <c r="G73" s="5"/>
      <c r="H73" s="73">
        <f t="shared" si="0"/>
        <v>0</v>
      </c>
    </row>
    <row r="74" spans="4:8" ht="13.8">
      <c r="D74" s="1"/>
      <c r="E74" s="1" t="str">
        <f>IF(ISERROR(VLOOKUP(D74,Categorias!A:B,2,0)),"",VLOOKUP(D74,Categorias!A:B,2,0))</f>
        <v/>
      </c>
      <c r="F74" s="80"/>
      <c r="G74" s="5"/>
      <c r="H74" s="73">
        <f t="shared" si="0"/>
        <v>0</v>
      </c>
    </row>
    <row r="75" spans="4:8" ht="13.8">
      <c r="D75" s="1"/>
      <c r="E75" s="1" t="str">
        <f>IF(ISERROR(VLOOKUP(D75,Categorias!A:B,2,0)),"",VLOOKUP(D75,Categorias!A:B,2,0))</f>
        <v/>
      </c>
      <c r="F75" s="80"/>
      <c r="G75" s="5"/>
      <c r="H75" s="73">
        <f t="shared" si="0"/>
        <v>0</v>
      </c>
    </row>
    <row r="76" spans="4:8" ht="13.8">
      <c r="D76" s="1"/>
      <c r="E76" s="1" t="str">
        <f>IF(ISERROR(VLOOKUP(D76,Categorias!A:B,2,0)),"",VLOOKUP(D76,Categorias!A:B,2,0))</f>
        <v/>
      </c>
      <c r="F76" s="80"/>
      <c r="G76" s="5"/>
      <c r="H76" s="73">
        <f t="shared" si="0"/>
        <v>0</v>
      </c>
    </row>
    <row r="77" spans="4:8" ht="13.8">
      <c r="D77" s="1"/>
      <c r="E77" s="1" t="str">
        <f>IF(ISERROR(VLOOKUP(D77,Categorias!A:B,2,0)),"",VLOOKUP(D77,Categorias!A:B,2,0))</f>
        <v/>
      </c>
      <c r="F77" s="80"/>
      <c r="G77" s="5"/>
      <c r="H77" s="73">
        <f t="shared" si="0"/>
        <v>0</v>
      </c>
    </row>
    <row r="78" spans="4:8" ht="13.8">
      <c r="D78" s="1"/>
      <c r="E78" s="1" t="str">
        <f>IF(ISERROR(VLOOKUP(D78,Categorias!A:B,2,0)),"",VLOOKUP(D78,Categorias!A:B,2,0))</f>
        <v/>
      </c>
      <c r="F78" s="80"/>
      <c r="G78" s="5"/>
      <c r="H78" s="73">
        <f t="shared" ref="H78:H141" si="1">H77+F78-G78</f>
        <v>0</v>
      </c>
    </row>
    <row r="79" spans="4:8" ht="13.8">
      <c r="D79" s="1"/>
      <c r="E79" s="1" t="str">
        <f>IF(ISERROR(VLOOKUP(D79,Categorias!A:B,2,0)),"",VLOOKUP(D79,Categorias!A:B,2,0))</f>
        <v/>
      </c>
      <c r="F79" s="80"/>
      <c r="G79" s="5"/>
      <c r="H79" s="73">
        <f t="shared" si="1"/>
        <v>0</v>
      </c>
    </row>
    <row r="80" spans="4:8" ht="13.8">
      <c r="D80" s="1"/>
      <c r="E80" s="1" t="str">
        <f>IF(ISERROR(VLOOKUP(D80,Categorias!A:B,2,0)),"",VLOOKUP(D80,Categorias!A:B,2,0))</f>
        <v/>
      </c>
      <c r="F80" s="80"/>
      <c r="G80" s="5"/>
      <c r="H80" s="73">
        <f t="shared" si="1"/>
        <v>0</v>
      </c>
    </row>
    <row r="81" spans="4:8" ht="13.8">
      <c r="D81" s="1"/>
      <c r="E81" s="1" t="str">
        <f>IF(ISERROR(VLOOKUP(D81,Categorias!A:B,2,0)),"",VLOOKUP(D81,Categorias!A:B,2,0))</f>
        <v/>
      </c>
      <c r="F81" s="80"/>
      <c r="G81" s="5"/>
      <c r="H81" s="73">
        <f t="shared" si="1"/>
        <v>0</v>
      </c>
    </row>
    <row r="82" spans="4:8" ht="13.8">
      <c r="D82" s="1"/>
      <c r="E82" s="1" t="str">
        <f>IF(ISERROR(VLOOKUP(D82,Categorias!A:B,2,0)),"",VLOOKUP(D82,Categorias!A:B,2,0))</f>
        <v/>
      </c>
      <c r="F82" s="80"/>
      <c r="G82" s="5"/>
      <c r="H82" s="73">
        <f t="shared" si="1"/>
        <v>0</v>
      </c>
    </row>
    <row r="83" spans="4:8" ht="13.8">
      <c r="D83" s="1"/>
      <c r="E83" s="1" t="str">
        <f>IF(ISERROR(VLOOKUP(D83,Categorias!A:B,2,0)),"",VLOOKUP(D83,Categorias!A:B,2,0))</f>
        <v/>
      </c>
      <c r="F83" s="80"/>
      <c r="G83" s="5"/>
      <c r="H83" s="73">
        <f t="shared" si="1"/>
        <v>0</v>
      </c>
    </row>
    <row r="84" spans="4:8" ht="13.8">
      <c r="D84" s="1"/>
      <c r="E84" s="1" t="str">
        <f>IF(ISERROR(VLOOKUP(D84,Categorias!A:B,2,0)),"",VLOOKUP(D84,Categorias!A:B,2,0))</f>
        <v/>
      </c>
      <c r="F84" s="80"/>
      <c r="G84" s="5"/>
      <c r="H84" s="73">
        <f t="shared" si="1"/>
        <v>0</v>
      </c>
    </row>
    <row r="85" spans="4:8" ht="13.8">
      <c r="D85" s="1"/>
      <c r="E85" s="1" t="str">
        <f>IF(ISERROR(VLOOKUP(D85,Categorias!A:B,2,0)),"",VLOOKUP(D85,Categorias!A:B,2,0))</f>
        <v/>
      </c>
      <c r="F85" s="80"/>
      <c r="G85" s="5"/>
      <c r="H85" s="73">
        <f t="shared" si="1"/>
        <v>0</v>
      </c>
    </row>
    <row r="86" spans="4:8" ht="13.8">
      <c r="D86" s="1"/>
      <c r="E86" s="1" t="str">
        <f>IF(ISERROR(VLOOKUP(D86,Categorias!A:B,2,0)),"",VLOOKUP(D86,Categorias!A:B,2,0))</f>
        <v/>
      </c>
      <c r="F86" s="80"/>
      <c r="G86" s="5"/>
      <c r="H86" s="73">
        <f t="shared" si="1"/>
        <v>0</v>
      </c>
    </row>
    <row r="87" spans="4:8" ht="13.8">
      <c r="D87" s="1"/>
      <c r="E87" s="1" t="str">
        <f>IF(ISERROR(VLOOKUP(D87,Categorias!A:B,2,0)),"",VLOOKUP(D87,Categorias!A:B,2,0))</f>
        <v/>
      </c>
      <c r="F87" s="80"/>
      <c r="G87" s="5"/>
      <c r="H87" s="73">
        <f t="shared" si="1"/>
        <v>0</v>
      </c>
    </row>
    <row r="88" spans="4:8" ht="13.8">
      <c r="D88" s="1"/>
      <c r="E88" s="1" t="str">
        <f>IF(ISERROR(VLOOKUP(D88,Categorias!A:B,2,0)),"",VLOOKUP(D88,Categorias!A:B,2,0))</f>
        <v/>
      </c>
      <c r="F88" s="80"/>
      <c r="G88" s="5"/>
      <c r="H88" s="73">
        <f t="shared" si="1"/>
        <v>0</v>
      </c>
    </row>
    <row r="89" spans="4:8" ht="13.8">
      <c r="D89" s="1"/>
      <c r="E89" s="1" t="str">
        <f>IF(ISERROR(VLOOKUP(D89,Categorias!A:B,2,0)),"",VLOOKUP(D89,Categorias!A:B,2,0))</f>
        <v/>
      </c>
      <c r="F89" s="80"/>
      <c r="G89" s="5"/>
      <c r="H89" s="73">
        <f t="shared" si="1"/>
        <v>0</v>
      </c>
    </row>
    <row r="90" spans="4:8" ht="13.8">
      <c r="D90" s="1"/>
      <c r="E90" s="1" t="str">
        <f>IF(ISERROR(VLOOKUP(D90,Categorias!A:B,2,0)),"",VLOOKUP(D90,Categorias!A:B,2,0))</f>
        <v/>
      </c>
      <c r="F90" s="80"/>
      <c r="G90" s="5"/>
      <c r="H90" s="73">
        <f t="shared" si="1"/>
        <v>0</v>
      </c>
    </row>
    <row r="91" spans="4:8" ht="13.8">
      <c r="D91" s="1"/>
      <c r="E91" s="1" t="str">
        <f>IF(ISERROR(VLOOKUP(D91,Categorias!A:B,2,0)),"",VLOOKUP(D91,Categorias!A:B,2,0))</f>
        <v/>
      </c>
      <c r="F91" s="80"/>
      <c r="G91" s="5"/>
      <c r="H91" s="73">
        <f t="shared" si="1"/>
        <v>0</v>
      </c>
    </row>
    <row r="92" spans="4:8" ht="13.8">
      <c r="D92" s="1"/>
      <c r="E92" s="1" t="str">
        <f>IF(ISERROR(VLOOKUP(D92,Categorias!A:B,2,0)),"",VLOOKUP(D92,Categorias!A:B,2,0))</f>
        <v/>
      </c>
      <c r="F92" s="80"/>
      <c r="G92" s="5"/>
      <c r="H92" s="73">
        <f t="shared" si="1"/>
        <v>0</v>
      </c>
    </row>
    <row r="93" spans="4:8" ht="13.8">
      <c r="D93" s="1"/>
      <c r="E93" s="1" t="str">
        <f>IF(ISERROR(VLOOKUP(D93,Categorias!A:B,2,0)),"",VLOOKUP(D93,Categorias!A:B,2,0))</f>
        <v/>
      </c>
      <c r="F93" s="80"/>
      <c r="G93" s="5"/>
      <c r="H93" s="73">
        <f t="shared" si="1"/>
        <v>0</v>
      </c>
    </row>
    <row r="94" spans="4:8" ht="13.8">
      <c r="D94" s="1"/>
      <c r="E94" s="1" t="str">
        <f>IF(ISERROR(VLOOKUP(D94,Categorias!A:B,2,0)),"",VLOOKUP(D94,Categorias!A:B,2,0))</f>
        <v/>
      </c>
      <c r="F94" s="80"/>
      <c r="G94" s="5"/>
      <c r="H94" s="73">
        <f t="shared" si="1"/>
        <v>0</v>
      </c>
    </row>
    <row r="95" spans="4:8" ht="13.8">
      <c r="D95" s="1"/>
      <c r="E95" s="1" t="str">
        <f>IF(ISERROR(VLOOKUP(D95,Categorias!A:B,2,0)),"",VLOOKUP(D95,Categorias!A:B,2,0))</f>
        <v/>
      </c>
      <c r="F95" s="80"/>
      <c r="G95" s="5"/>
      <c r="H95" s="73">
        <f t="shared" si="1"/>
        <v>0</v>
      </c>
    </row>
    <row r="96" spans="4:8" ht="13.8">
      <c r="D96" s="1"/>
      <c r="E96" s="1" t="str">
        <f>IF(ISERROR(VLOOKUP(D96,Categorias!A:B,2,0)),"",VLOOKUP(D96,Categorias!A:B,2,0))</f>
        <v/>
      </c>
      <c r="F96" s="80"/>
      <c r="G96" s="5"/>
      <c r="H96" s="73">
        <f t="shared" si="1"/>
        <v>0</v>
      </c>
    </row>
    <row r="97" spans="4:8" ht="13.8">
      <c r="D97" s="1"/>
      <c r="E97" s="1" t="str">
        <f>IF(ISERROR(VLOOKUP(D97,Categorias!A:B,2,0)),"",VLOOKUP(D97,Categorias!A:B,2,0))</f>
        <v/>
      </c>
      <c r="F97" s="80"/>
      <c r="G97" s="5"/>
      <c r="H97" s="73">
        <f t="shared" si="1"/>
        <v>0</v>
      </c>
    </row>
    <row r="98" spans="4:8" ht="13.8">
      <c r="D98" s="1"/>
      <c r="E98" s="1" t="str">
        <f>IF(ISERROR(VLOOKUP(D98,Categorias!A:B,2,0)),"",VLOOKUP(D98,Categorias!A:B,2,0))</f>
        <v/>
      </c>
      <c r="F98" s="80"/>
      <c r="G98" s="5"/>
      <c r="H98" s="73">
        <f t="shared" si="1"/>
        <v>0</v>
      </c>
    </row>
    <row r="99" spans="4:8" ht="13.8">
      <c r="D99" s="1"/>
      <c r="E99" s="1" t="str">
        <f>IF(ISERROR(VLOOKUP(D99,Categorias!A:B,2,0)),"",VLOOKUP(D99,Categorias!A:B,2,0))</f>
        <v/>
      </c>
      <c r="F99" s="80"/>
      <c r="G99" s="5"/>
      <c r="H99" s="73">
        <f t="shared" si="1"/>
        <v>0</v>
      </c>
    </row>
    <row r="100" spans="4:8" ht="13.8">
      <c r="D100" s="1"/>
      <c r="E100" s="1" t="str">
        <f>IF(ISERROR(VLOOKUP(D100,Categorias!A:B,2,0)),"",VLOOKUP(D100,Categorias!A:B,2,0))</f>
        <v/>
      </c>
      <c r="F100" s="80"/>
      <c r="G100" s="5"/>
      <c r="H100" s="73">
        <f t="shared" si="1"/>
        <v>0</v>
      </c>
    </row>
    <row r="101" spans="4:8" ht="13.8">
      <c r="D101" s="1"/>
      <c r="E101" s="1" t="str">
        <f>IF(ISERROR(VLOOKUP(D101,Categorias!A:B,2,0)),"",VLOOKUP(D101,Categorias!A:B,2,0))</f>
        <v/>
      </c>
      <c r="F101" s="80"/>
      <c r="G101" s="5"/>
      <c r="H101" s="73">
        <f t="shared" si="1"/>
        <v>0</v>
      </c>
    </row>
    <row r="102" spans="4:8" ht="13.8">
      <c r="D102" s="1"/>
      <c r="E102" s="1" t="str">
        <f>IF(ISERROR(VLOOKUP(D102,Categorias!A:B,2,0)),"",VLOOKUP(D102,Categorias!A:B,2,0))</f>
        <v/>
      </c>
      <c r="F102" s="80"/>
      <c r="G102" s="5"/>
      <c r="H102" s="73">
        <f t="shared" si="1"/>
        <v>0</v>
      </c>
    </row>
    <row r="103" spans="4:8" ht="13.8">
      <c r="D103" s="1"/>
      <c r="E103" s="1" t="str">
        <f>IF(ISERROR(VLOOKUP(D103,Categorias!A:B,2,0)),"",VLOOKUP(D103,Categorias!A:B,2,0))</f>
        <v/>
      </c>
      <c r="F103" s="80"/>
      <c r="G103" s="5"/>
      <c r="H103" s="73">
        <f t="shared" si="1"/>
        <v>0</v>
      </c>
    </row>
    <row r="104" spans="4:8" ht="13.8">
      <c r="D104" s="1"/>
      <c r="E104" s="1" t="str">
        <f>IF(ISERROR(VLOOKUP(D104,Categorias!A:B,2,0)),"",VLOOKUP(D104,Categorias!A:B,2,0))</f>
        <v/>
      </c>
      <c r="F104" s="80"/>
      <c r="G104" s="5"/>
      <c r="H104" s="73">
        <f t="shared" si="1"/>
        <v>0</v>
      </c>
    </row>
    <row r="105" spans="4:8" ht="13.8">
      <c r="D105" s="1"/>
      <c r="E105" s="1" t="str">
        <f>IF(ISERROR(VLOOKUP(D105,Categorias!A:B,2,0)),"",VLOOKUP(D105,Categorias!A:B,2,0))</f>
        <v/>
      </c>
      <c r="F105" s="80"/>
      <c r="G105" s="5"/>
      <c r="H105" s="73">
        <f t="shared" si="1"/>
        <v>0</v>
      </c>
    </row>
    <row r="106" spans="4:8" ht="13.8">
      <c r="D106" s="1"/>
      <c r="E106" s="1" t="str">
        <f>IF(ISERROR(VLOOKUP(D106,Categorias!A:B,2,0)),"",VLOOKUP(D106,Categorias!A:B,2,0))</f>
        <v/>
      </c>
      <c r="F106" s="80"/>
      <c r="G106" s="5"/>
      <c r="H106" s="73">
        <f t="shared" si="1"/>
        <v>0</v>
      </c>
    </row>
    <row r="107" spans="4:8" ht="13.8">
      <c r="D107" s="1"/>
      <c r="E107" s="1" t="str">
        <f>IF(ISERROR(VLOOKUP(D107,Categorias!A:B,2,0)),"",VLOOKUP(D107,Categorias!A:B,2,0))</f>
        <v/>
      </c>
      <c r="F107" s="80"/>
      <c r="G107" s="5"/>
      <c r="H107" s="73">
        <f t="shared" si="1"/>
        <v>0</v>
      </c>
    </row>
    <row r="108" spans="4:8" ht="13.8">
      <c r="D108" s="1"/>
      <c r="E108" s="1" t="str">
        <f>IF(ISERROR(VLOOKUP(D108,Categorias!A:B,2,0)),"",VLOOKUP(D108,Categorias!A:B,2,0))</f>
        <v/>
      </c>
      <c r="F108" s="80"/>
      <c r="G108" s="5"/>
      <c r="H108" s="73">
        <f t="shared" si="1"/>
        <v>0</v>
      </c>
    </row>
    <row r="109" spans="4:8" ht="13.8">
      <c r="D109" s="1"/>
      <c r="E109" s="1" t="str">
        <f>IF(ISERROR(VLOOKUP(D109,Categorias!A:B,2,0)),"",VLOOKUP(D109,Categorias!A:B,2,0))</f>
        <v/>
      </c>
      <c r="F109" s="80"/>
      <c r="G109" s="5"/>
      <c r="H109" s="73">
        <f t="shared" si="1"/>
        <v>0</v>
      </c>
    </row>
    <row r="110" spans="4:8" ht="13.8">
      <c r="D110" s="1"/>
      <c r="E110" s="1" t="str">
        <f>IF(ISERROR(VLOOKUP(D110,Categorias!A:B,2,0)),"",VLOOKUP(D110,Categorias!A:B,2,0))</f>
        <v/>
      </c>
      <c r="F110" s="80"/>
      <c r="G110" s="5"/>
      <c r="H110" s="73">
        <f t="shared" si="1"/>
        <v>0</v>
      </c>
    </row>
    <row r="111" spans="4:8" ht="13.8">
      <c r="D111" s="1"/>
      <c r="E111" s="1" t="str">
        <f>IF(ISERROR(VLOOKUP(D111,Categorias!A:B,2,0)),"",VLOOKUP(D111,Categorias!A:B,2,0))</f>
        <v/>
      </c>
      <c r="F111" s="80"/>
      <c r="G111" s="5"/>
      <c r="H111" s="73">
        <f t="shared" si="1"/>
        <v>0</v>
      </c>
    </row>
    <row r="112" spans="4:8" ht="13.8">
      <c r="D112" s="1"/>
      <c r="E112" s="1" t="str">
        <f>IF(ISERROR(VLOOKUP(D112,Categorias!A:B,2,0)),"",VLOOKUP(D112,Categorias!A:B,2,0))</f>
        <v/>
      </c>
      <c r="F112" s="80"/>
      <c r="G112" s="5"/>
      <c r="H112" s="73">
        <f t="shared" si="1"/>
        <v>0</v>
      </c>
    </row>
    <row r="113" spans="4:8" ht="13.8">
      <c r="D113" s="1"/>
      <c r="E113" s="1" t="str">
        <f>IF(ISERROR(VLOOKUP(D113,Categorias!A:B,2,0)),"",VLOOKUP(D113,Categorias!A:B,2,0))</f>
        <v/>
      </c>
      <c r="F113" s="80"/>
      <c r="G113" s="5"/>
      <c r="H113" s="73">
        <f t="shared" si="1"/>
        <v>0</v>
      </c>
    </row>
    <row r="114" spans="4:8" ht="13.8">
      <c r="D114" s="1"/>
      <c r="E114" s="1" t="str">
        <f>IF(ISERROR(VLOOKUP(D114,Categorias!A:B,2,0)),"",VLOOKUP(D114,Categorias!A:B,2,0))</f>
        <v/>
      </c>
      <c r="F114" s="80"/>
      <c r="G114" s="5"/>
      <c r="H114" s="73">
        <f t="shared" si="1"/>
        <v>0</v>
      </c>
    </row>
    <row r="115" spans="4:8" ht="13.8">
      <c r="D115" s="1"/>
      <c r="E115" s="1" t="str">
        <f>IF(ISERROR(VLOOKUP(D115,Categorias!A:B,2,0)),"",VLOOKUP(D115,Categorias!A:B,2,0))</f>
        <v/>
      </c>
      <c r="F115" s="80"/>
      <c r="G115" s="5"/>
      <c r="H115" s="73">
        <f t="shared" si="1"/>
        <v>0</v>
      </c>
    </row>
    <row r="116" spans="4:8" ht="13.8">
      <c r="D116" s="1"/>
      <c r="E116" s="1" t="str">
        <f>IF(ISERROR(VLOOKUP(D116,Categorias!A:B,2,0)),"",VLOOKUP(D116,Categorias!A:B,2,0))</f>
        <v/>
      </c>
      <c r="F116" s="80"/>
      <c r="G116" s="5"/>
      <c r="H116" s="73">
        <f t="shared" si="1"/>
        <v>0</v>
      </c>
    </row>
    <row r="117" spans="4:8" ht="13.8">
      <c r="D117" s="1"/>
      <c r="E117" s="1" t="str">
        <f>IF(ISERROR(VLOOKUP(D117,Categorias!A:B,2,0)),"",VLOOKUP(D117,Categorias!A:B,2,0))</f>
        <v/>
      </c>
      <c r="F117" s="80"/>
      <c r="G117" s="5"/>
      <c r="H117" s="73">
        <f t="shared" si="1"/>
        <v>0</v>
      </c>
    </row>
    <row r="118" spans="4:8" ht="13.8">
      <c r="D118" s="1"/>
      <c r="E118" s="1" t="str">
        <f>IF(ISERROR(VLOOKUP(D118,Categorias!A:B,2,0)),"",VLOOKUP(D118,Categorias!A:B,2,0))</f>
        <v/>
      </c>
      <c r="F118" s="80"/>
      <c r="G118" s="5"/>
      <c r="H118" s="73">
        <f t="shared" si="1"/>
        <v>0</v>
      </c>
    </row>
    <row r="119" spans="4:8" ht="13.8">
      <c r="D119" s="1"/>
      <c r="E119" s="1" t="str">
        <f>IF(ISERROR(VLOOKUP(D119,Categorias!A:B,2,0)),"",VLOOKUP(D119,Categorias!A:B,2,0))</f>
        <v/>
      </c>
      <c r="F119" s="80"/>
      <c r="G119" s="5"/>
      <c r="H119" s="73">
        <f t="shared" si="1"/>
        <v>0</v>
      </c>
    </row>
    <row r="120" spans="4:8" ht="13.8">
      <c r="D120" s="1"/>
      <c r="E120" s="1" t="str">
        <f>IF(ISERROR(VLOOKUP(D120,Categorias!A:B,2,0)),"",VLOOKUP(D120,Categorias!A:B,2,0))</f>
        <v/>
      </c>
      <c r="F120" s="80"/>
      <c r="G120" s="5"/>
      <c r="H120" s="73">
        <f t="shared" si="1"/>
        <v>0</v>
      </c>
    </row>
    <row r="121" spans="4:8" ht="13.8">
      <c r="D121" s="1"/>
      <c r="E121" s="1" t="str">
        <f>IF(ISERROR(VLOOKUP(D121,Categorias!A:B,2,0)),"",VLOOKUP(D121,Categorias!A:B,2,0))</f>
        <v/>
      </c>
      <c r="F121" s="80"/>
      <c r="G121" s="5"/>
      <c r="H121" s="73">
        <f t="shared" si="1"/>
        <v>0</v>
      </c>
    </row>
    <row r="122" spans="4:8" ht="13.8">
      <c r="D122" s="1"/>
      <c r="E122" s="1" t="str">
        <f>IF(ISERROR(VLOOKUP(D122,Categorias!A:B,2,0)),"",VLOOKUP(D122,Categorias!A:B,2,0))</f>
        <v/>
      </c>
      <c r="F122" s="80"/>
      <c r="G122" s="5"/>
      <c r="H122" s="73">
        <f t="shared" si="1"/>
        <v>0</v>
      </c>
    </row>
    <row r="123" spans="4:8" ht="13.8">
      <c r="D123" s="1"/>
      <c r="E123" s="1" t="str">
        <f>IF(ISERROR(VLOOKUP(D123,Categorias!A:B,2,0)),"",VLOOKUP(D123,Categorias!A:B,2,0))</f>
        <v/>
      </c>
      <c r="F123" s="80"/>
      <c r="G123" s="5"/>
      <c r="H123" s="73">
        <f t="shared" si="1"/>
        <v>0</v>
      </c>
    </row>
    <row r="124" spans="4:8" ht="13.8">
      <c r="D124" s="1"/>
      <c r="E124" s="1" t="str">
        <f>IF(ISERROR(VLOOKUP(D124,Categorias!A:B,2,0)),"",VLOOKUP(D124,Categorias!A:B,2,0))</f>
        <v/>
      </c>
      <c r="F124" s="80"/>
      <c r="G124" s="5"/>
      <c r="H124" s="73">
        <f t="shared" si="1"/>
        <v>0</v>
      </c>
    </row>
    <row r="125" spans="4:8" ht="13.8">
      <c r="D125" s="1"/>
      <c r="E125" s="1" t="str">
        <f>IF(ISERROR(VLOOKUP(D125,Categorias!A:B,2,0)),"",VLOOKUP(D125,Categorias!A:B,2,0))</f>
        <v/>
      </c>
      <c r="F125" s="80"/>
      <c r="G125" s="5"/>
      <c r="H125" s="73">
        <f t="shared" si="1"/>
        <v>0</v>
      </c>
    </row>
    <row r="126" spans="4:8" ht="13.8">
      <c r="D126" s="1"/>
      <c r="E126" s="1" t="str">
        <f>IF(ISERROR(VLOOKUP(D126,Categorias!A:B,2,0)),"",VLOOKUP(D126,Categorias!A:B,2,0))</f>
        <v/>
      </c>
      <c r="F126" s="80"/>
      <c r="G126" s="5"/>
      <c r="H126" s="73">
        <f t="shared" si="1"/>
        <v>0</v>
      </c>
    </row>
    <row r="127" spans="4:8" ht="13.8">
      <c r="D127" s="1"/>
      <c r="E127" s="1" t="str">
        <f>IF(ISERROR(VLOOKUP(D127,Categorias!A:B,2,0)),"",VLOOKUP(D127,Categorias!A:B,2,0))</f>
        <v/>
      </c>
      <c r="F127" s="80"/>
      <c r="G127" s="5"/>
      <c r="H127" s="73">
        <f t="shared" si="1"/>
        <v>0</v>
      </c>
    </row>
    <row r="128" spans="4:8" ht="13.8">
      <c r="D128" s="1"/>
      <c r="E128" s="1" t="str">
        <f>IF(ISERROR(VLOOKUP(D128,Categorias!A:B,2,0)),"",VLOOKUP(D128,Categorias!A:B,2,0))</f>
        <v/>
      </c>
      <c r="F128" s="80"/>
      <c r="G128" s="5"/>
      <c r="H128" s="73">
        <f t="shared" si="1"/>
        <v>0</v>
      </c>
    </row>
    <row r="129" spans="4:8" ht="13.8">
      <c r="D129" s="1"/>
      <c r="E129" s="1" t="str">
        <f>IF(ISERROR(VLOOKUP(D129,Categorias!A:B,2,0)),"",VLOOKUP(D129,Categorias!A:B,2,0))</f>
        <v/>
      </c>
      <c r="F129" s="80"/>
      <c r="G129" s="5"/>
      <c r="H129" s="73">
        <f t="shared" si="1"/>
        <v>0</v>
      </c>
    </row>
    <row r="130" spans="4:8" ht="13.8">
      <c r="D130" s="1"/>
      <c r="E130" s="1" t="str">
        <f>IF(ISERROR(VLOOKUP(D130,Categorias!A:B,2,0)),"",VLOOKUP(D130,Categorias!A:B,2,0))</f>
        <v/>
      </c>
      <c r="F130" s="80"/>
      <c r="G130" s="5"/>
      <c r="H130" s="73">
        <f t="shared" si="1"/>
        <v>0</v>
      </c>
    </row>
    <row r="131" spans="4:8" ht="13.8">
      <c r="D131" s="1"/>
      <c r="E131" s="1" t="str">
        <f>IF(ISERROR(VLOOKUP(D131,Categorias!A:B,2,0)),"",VLOOKUP(D131,Categorias!A:B,2,0))</f>
        <v/>
      </c>
      <c r="F131" s="80"/>
      <c r="G131" s="5"/>
      <c r="H131" s="73">
        <f t="shared" si="1"/>
        <v>0</v>
      </c>
    </row>
    <row r="132" spans="4:8" ht="13.8">
      <c r="D132" s="1"/>
      <c r="E132" s="1" t="str">
        <f>IF(ISERROR(VLOOKUP(D132,Categorias!A:B,2,0)),"",VLOOKUP(D132,Categorias!A:B,2,0))</f>
        <v/>
      </c>
      <c r="F132" s="80"/>
      <c r="G132" s="5"/>
      <c r="H132" s="73">
        <f t="shared" si="1"/>
        <v>0</v>
      </c>
    </row>
    <row r="133" spans="4:8" ht="13.8">
      <c r="D133" s="1"/>
      <c r="E133" s="1" t="str">
        <f>IF(ISERROR(VLOOKUP(D133,Categorias!A:B,2,0)),"",VLOOKUP(D133,Categorias!A:B,2,0))</f>
        <v/>
      </c>
      <c r="F133" s="80"/>
      <c r="G133" s="5"/>
      <c r="H133" s="73">
        <f t="shared" si="1"/>
        <v>0</v>
      </c>
    </row>
    <row r="134" spans="4:8" ht="13.8">
      <c r="D134" s="1"/>
      <c r="E134" s="1" t="str">
        <f>IF(ISERROR(VLOOKUP(D134,Categorias!A:B,2,0)),"",VLOOKUP(D134,Categorias!A:B,2,0))</f>
        <v/>
      </c>
      <c r="F134" s="80"/>
      <c r="G134" s="5"/>
      <c r="H134" s="73">
        <f t="shared" si="1"/>
        <v>0</v>
      </c>
    </row>
    <row r="135" spans="4:8" ht="13.8">
      <c r="D135" s="1"/>
      <c r="E135" s="1" t="str">
        <f>IF(ISERROR(VLOOKUP(D135,Categorias!A:B,2,0)),"",VLOOKUP(D135,Categorias!A:B,2,0))</f>
        <v/>
      </c>
      <c r="F135" s="80"/>
      <c r="G135" s="5"/>
      <c r="H135" s="73">
        <f t="shared" si="1"/>
        <v>0</v>
      </c>
    </row>
    <row r="136" spans="4:8" ht="13.8">
      <c r="D136" s="1"/>
      <c r="E136" s="1" t="str">
        <f>IF(ISERROR(VLOOKUP(D136,Categorias!A:B,2,0)),"",VLOOKUP(D136,Categorias!A:B,2,0))</f>
        <v/>
      </c>
      <c r="F136" s="80"/>
      <c r="G136" s="5"/>
      <c r="H136" s="73">
        <f t="shared" si="1"/>
        <v>0</v>
      </c>
    </row>
    <row r="137" spans="4:8" ht="13.8">
      <c r="D137" s="1"/>
      <c r="E137" s="1" t="str">
        <f>IF(ISERROR(VLOOKUP(D137,Categorias!A:B,2,0)),"",VLOOKUP(D137,Categorias!A:B,2,0))</f>
        <v/>
      </c>
      <c r="F137" s="80"/>
      <c r="G137" s="5"/>
      <c r="H137" s="73">
        <f t="shared" si="1"/>
        <v>0</v>
      </c>
    </row>
    <row r="138" spans="4:8" ht="13.8">
      <c r="D138" s="1"/>
      <c r="E138" s="1" t="str">
        <f>IF(ISERROR(VLOOKUP(D138,Categorias!A:B,2,0)),"",VLOOKUP(D138,Categorias!A:B,2,0))</f>
        <v/>
      </c>
      <c r="F138" s="80"/>
      <c r="G138" s="5"/>
      <c r="H138" s="73">
        <f t="shared" si="1"/>
        <v>0</v>
      </c>
    </row>
    <row r="139" spans="4:8" ht="13.8">
      <c r="D139" s="1"/>
      <c r="E139" s="1" t="str">
        <f>IF(ISERROR(VLOOKUP(D139,Categorias!A:B,2,0)),"",VLOOKUP(D139,Categorias!A:B,2,0))</f>
        <v/>
      </c>
      <c r="F139" s="80"/>
      <c r="G139" s="5"/>
      <c r="H139" s="73">
        <f t="shared" si="1"/>
        <v>0</v>
      </c>
    </row>
    <row r="140" spans="4:8" ht="13.8">
      <c r="D140" s="1"/>
      <c r="E140" s="1" t="str">
        <f>IF(ISERROR(VLOOKUP(D140,Categorias!A:B,2,0)),"",VLOOKUP(D140,Categorias!A:B,2,0))</f>
        <v/>
      </c>
      <c r="F140" s="80"/>
      <c r="G140" s="5"/>
      <c r="H140" s="73">
        <f t="shared" si="1"/>
        <v>0</v>
      </c>
    </row>
    <row r="141" spans="4:8" ht="13.8">
      <c r="D141" s="1"/>
      <c r="E141" s="1" t="str">
        <f>IF(ISERROR(VLOOKUP(D141,Categorias!A:B,2,0)),"",VLOOKUP(D141,Categorias!A:B,2,0))</f>
        <v/>
      </c>
      <c r="F141" s="80"/>
      <c r="G141" s="5"/>
      <c r="H141" s="73">
        <f t="shared" si="1"/>
        <v>0</v>
      </c>
    </row>
    <row r="142" spans="4:8" ht="13.8">
      <c r="D142" s="1"/>
      <c r="E142" s="1" t="str">
        <f>IF(ISERROR(VLOOKUP(D142,Categorias!A:B,2,0)),"",VLOOKUP(D142,Categorias!A:B,2,0))</f>
        <v/>
      </c>
      <c r="F142" s="80"/>
      <c r="G142" s="5"/>
      <c r="H142" s="73">
        <f t="shared" ref="H142:H205" si="2">H141+F142-G142</f>
        <v>0</v>
      </c>
    </row>
    <row r="143" spans="4:8" ht="13.8">
      <c r="D143" s="1"/>
      <c r="E143" s="1" t="str">
        <f>IF(ISERROR(VLOOKUP(D143,Categorias!A:B,2,0)),"",VLOOKUP(D143,Categorias!A:B,2,0))</f>
        <v/>
      </c>
      <c r="F143" s="80"/>
      <c r="G143" s="5"/>
      <c r="H143" s="73">
        <f t="shared" si="2"/>
        <v>0</v>
      </c>
    </row>
    <row r="144" spans="4:8" ht="13.8">
      <c r="D144" s="1"/>
      <c r="E144" s="1" t="str">
        <f>IF(ISERROR(VLOOKUP(D144,Categorias!A:B,2,0)),"",VLOOKUP(D144,Categorias!A:B,2,0))</f>
        <v/>
      </c>
      <c r="F144" s="80"/>
      <c r="G144" s="5"/>
      <c r="H144" s="73">
        <f t="shared" si="2"/>
        <v>0</v>
      </c>
    </row>
    <row r="145" spans="4:8" ht="13.8">
      <c r="D145" s="1"/>
      <c r="E145" s="1" t="str">
        <f>IF(ISERROR(VLOOKUP(D145,Categorias!A:B,2,0)),"",VLOOKUP(D145,Categorias!A:B,2,0))</f>
        <v/>
      </c>
      <c r="F145" s="80"/>
      <c r="G145" s="5"/>
      <c r="H145" s="73">
        <f t="shared" si="2"/>
        <v>0</v>
      </c>
    </row>
    <row r="146" spans="4:8" ht="13.8">
      <c r="D146" s="1"/>
      <c r="E146" s="1" t="str">
        <f>IF(ISERROR(VLOOKUP(D146,Categorias!A:B,2,0)),"",VLOOKUP(D146,Categorias!A:B,2,0))</f>
        <v/>
      </c>
      <c r="F146" s="80"/>
      <c r="G146" s="5"/>
      <c r="H146" s="73">
        <f t="shared" si="2"/>
        <v>0</v>
      </c>
    </row>
    <row r="147" spans="4:8" ht="13.8">
      <c r="D147" s="1"/>
      <c r="E147" s="1" t="str">
        <f>IF(ISERROR(VLOOKUP(D147,Categorias!A:B,2,0)),"",VLOOKUP(D147,Categorias!A:B,2,0))</f>
        <v/>
      </c>
      <c r="F147" s="80"/>
      <c r="G147" s="5"/>
      <c r="H147" s="73">
        <f t="shared" si="2"/>
        <v>0</v>
      </c>
    </row>
    <row r="148" spans="4:8" ht="13.8">
      <c r="D148" s="1"/>
      <c r="E148" s="1" t="str">
        <f>IF(ISERROR(VLOOKUP(D148,Categorias!A:B,2,0)),"",VLOOKUP(D148,Categorias!A:B,2,0))</f>
        <v/>
      </c>
      <c r="F148" s="80"/>
      <c r="G148" s="5"/>
      <c r="H148" s="73">
        <f t="shared" si="2"/>
        <v>0</v>
      </c>
    </row>
    <row r="149" spans="4:8" ht="13.8">
      <c r="D149" s="1"/>
      <c r="E149" s="1" t="str">
        <f>IF(ISERROR(VLOOKUP(D149,Categorias!A:B,2,0)),"",VLOOKUP(D149,Categorias!A:B,2,0))</f>
        <v/>
      </c>
      <c r="F149" s="80"/>
      <c r="G149" s="5"/>
      <c r="H149" s="73">
        <f t="shared" si="2"/>
        <v>0</v>
      </c>
    </row>
    <row r="150" spans="4:8" ht="13.8">
      <c r="D150" s="1"/>
      <c r="E150" s="1" t="str">
        <f>IF(ISERROR(VLOOKUP(D150,Categorias!A:B,2,0)),"",VLOOKUP(D150,Categorias!A:B,2,0))</f>
        <v/>
      </c>
      <c r="F150" s="80"/>
      <c r="G150" s="5"/>
      <c r="H150" s="73">
        <f t="shared" si="2"/>
        <v>0</v>
      </c>
    </row>
    <row r="151" spans="4:8" ht="13.8">
      <c r="D151" s="1"/>
      <c r="E151" s="1" t="str">
        <f>IF(ISERROR(VLOOKUP(D151,Categorias!A:B,2,0)),"",VLOOKUP(D151,Categorias!A:B,2,0))</f>
        <v/>
      </c>
      <c r="F151" s="80"/>
      <c r="G151" s="5"/>
      <c r="H151" s="73">
        <f t="shared" si="2"/>
        <v>0</v>
      </c>
    </row>
    <row r="152" spans="4:8" ht="13.8">
      <c r="D152" s="1"/>
      <c r="E152" s="1" t="str">
        <f>IF(ISERROR(VLOOKUP(D152,Categorias!A:B,2,0)),"",VLOOKUP(D152,Categorias!A:B,2,0))</f>
        <v/>
      </c>
      <c r="F152" s="80"/>
      <c r="G152" s="5"/>
      <c r="H152" s="73">
        <f t="shared" si="2"/>
        <v>0</v>
      </c>
    </row>
    <row r="153" spans="4:8" ht="13.8">
      <c r="D153" s="1"/>
      <c r="E153" s="1" t="str">
        <f>IF(ISERROR(VLOOKUP(D153,Categorias!A:B,2,0)),"",VLOOKUP(D153,Categorias!A:B,2,0))</f>
        <v/>
      </c>
      <c r="F153" s="80"/>
      <c r="G153" s="5"/>
      <c r="H153" s="73">
        <f t="shared" si="2"/>
        <v>0</v>
      </c>
    </row>
    <row r="154" spans="4:8" ht="13.8">
      <c r="D154" s="1"/>
      <c r="E154" s="1" t="str">
        <f>IF(ISERROR(VLOOKUP(D154,Categorias!A:B,2,0)),"",VLOOKUP(D154,Categorias!A:B,2,0))</f>
        <v/>
      </c>
      <c r="F154" s="80"/>
      <c r="G154" s="5"/>
      <c r="H154" s="73">
        <f t="shared" si="2"/>
        <v>0</v>
      </c>
    </row>
    <row r="155" spans="4:8" ht="13.8">
      <c r="D155" s="1"/>
      <c r="E155" s="1" t="str">
        <f>IF(ISERROR(VLOOKUP(D155,Categorias!A:B,2,0)),"",VLOOKUP(D155,Categorias!A:B,2,0))</f>
        <v/>
      </c>
      <c r="F155" s="80"/>
      <c r="G155" s="5"/>
      <c r="H155" s="73">
        <f t="shared" si="2"/>
        <v>0</v>
      </c>
    </row>
    <row r="156" spans="4:8" ht="13.8">
      <c r="D156" s="1"/>
      <c r="E156" s="1" t="str">
        <f>IF(ISERROR(VLOOKUP(D156,Categorias!A:B,2,0)),"",VLOOKUP(D156,Categorias!A:B,2,0))</f>
        <v/>
      </c>
      <c r="F156" s="80"/>
      <c r="G156" s="5"/>
      <c r="H156" s="73">
        <f t="shared" si="2"/>
        <v>0</v>
      </c>
    </row>
    <row r="157" spans="4:8" ht="13.8">
      <c r="D157" s="1"/>
      <c r="E157" s="1" t="str">
        <f>IF(ISERROR(VLOOKUP(D157,Categorias!A:B,2,0)),"",VLOOKUP(D157,Categorias!A:B,2,0))</f>
        <v/>
      </c>
      <c r="F157" s="80"/>
      <c r="G157" s="5"/>
      <c r="H157" s="73">
        <f t="shared" si="2"/>
        <v>0</v>
      </c>
    </row>
    <row r="158" spans="4:8" ht="13.8">
      <c r="D158" s="1"/>
      <c r="E158" s="1" t="str">
        <f>IF(ISERROR(VLOOKUP(D158,Categorias!A:B,2,0)),"",VLOOKUP(D158,Categorias!A:B,2,0))</f>
        <v/>
      </c>
      <c r="F158" s="80"/>
      <c r="G158" s="5"/>
      <c r="H158" s="73">
        <f t="shared" si="2"/>
        <v>0</v>
      </c>
    </row>
    <row r="159" spans="4:8" ht="13.8">
      <c r="D159" s="1"/>
      <c r="E159" s="1" t="str">
        <f>IF(ISERROR(VLOOKUP(D159,Categorias!A:B,2,0)),"",VLOOKUP(D159,Categorias!A:B,2,0))</f>
        <v/>
      </c>
      <c r="F159" s="80"/>
      <c r="G159" s="5"/>
      <c r="H159" s="73">
        <f t="shared" si="2"/>
        <v>0</v>
      </c>
    </row>
    <row r="160" spans="4:8" ht="13.8">
      <c r="D160" s="1"/>
      <c r="E160" s="1" t="str">
        <f>IF(ISERROR(VLOOKUP(D160,Categorias!A:B,2,0)),"",VLOOKUP(D160,Categorias!A:B,2,0))</f>
        <v/>
      </c>
      <c r="F160" s="80"/>
      <c r="G160" s="5"/>
      <c r="H160" s="73">
        <f t="shared" si="2"/>
        <v>0</v>
      </c>
    </row>
    <row r="161" spans="4:8" ht="13.8">
      <c r="D161" s="1"/>
      <c r="E161" s="1" t="str">
        <f>IF(ISERROR(VLOOKUP(D161,Categorias!A:B,2,0)),"",VLOOKUP(D161,Categorias!A:B,2,0))</f>
        <v/>
      </c>
      <c r="F161" s="80"/>
      <c r="G161" s="5"/>
      <c r="H161" s="73">
        <f t="shared" si="2"/>
        <v>0</v>
      </c>
    </row>
    <row r="162" spans="4:8" ht="13.8">
      <c r="D162" s="1"/>
      <c r="E162" s="1" t="str">
        <f>IF(ISERROR(VLOOKUP(D162,Categorias!A:B,2,0)),"",VLOOKUP(D162,Categorias!A:B,2,0))</f>
        <v/>
      </c>
      <c r="F162" s="80"/>
      <c r="G162" s="5"/>
      <c r="H162" s="73">
        <f t="shared" si="2"/>
        <v>0</v>
      </c>
    </row>
    <row r="163" spans="4:8" ht="13.8">
      <c r="D163" s="1"/>
      <c r="E163" s="1" t="str">
        <f>IF(ISERROR(VLOOKUP(D163,Categorias!A:B,2,0)),"",VLOOKUP(D163,Categorias!A:B,2,0))</f>
        <v/>
      </c>
      <c r="F163" s="80"/>
      <c r="G163" s="5"/>
      <c r="H163" s="73">
        <f t="shared" si="2"/>
        <v>0</v>
      </c>
    </row>
    <row r="164" spans="4:8" ht="13.8">
      <c r="D164" s="1"/>
      <c r="E164" s="1" t="str">
        <f>IF(ISERROR(VLOOKUP(D164,Categorias!A:B,2,0)),"",VLOOKUP(D164,Categorias!A:B,2,0))</f>
        <v/>
      </c>
      <c r="F164" s="80"/>
      <c r="G164" s="5"/>
      <c r="H164" s="73">
        <f t="shared" si="2"/>
        <v>0</v>
      </c>
    </row>
    <row r="165" spans="4:8" ht="13.8">
      <c r="D165" s="1"/>
      <c r="E165" s="1" t="str">
        <f>IF(ISERROR(VLOOKUP(D165,Categorias!A:B,2,0)),"",VLOOKUP(D165,Categorias!A:B,2,0))</f>
        <v/>
      </c>
      <c r="F165" s="80"/>
      <c r="G165" s="5"/>
      <c r="H165" s="73">
        <f t="shared" si="2"/>
        <v>0</v>
      </c>
    </row>
    <row r="166" spans="4:8" ht="13.8">
      <c r="D166" s="1"/>
      <c r="E166" s="1" t="str">
        <f>IF(ISERROR(VLOOKUP(D166,Categorias!A:B,2,0)),"",VLOOKUP(D166,Categorias!A:B,2,0))</f>
        <v/>
      </c>
      <c r="F166" s="80"/>
      <c r="G166" s="5"/>
      <c r="H166" s="73">
        <f t="shared" si="2"/>
        <v>0</v>
      </c>
    </row>
    <row r="167" spans="4:8" ht="13.8">
      <c r="D167" s="1"/>
      <c r="E167" s="1" t="str">
        <f>IF(ISERROR(VLOOKUP(D167,Categorias!A:B,2,0)),"",VLOOKUP(D167,Categorias!A:B,2,0))</f>
        <v/>
      </c>
      <c r="F167" s="80"/>
      <c r="G167" s="5"/>
      <c r="H167" s="73">
        <f t="shared" si="2"/>
        <v>0</v>
      </c>
    </row>
    <row r="168" spans="4:8" ht="13.8">
      <c r="D168" s="1"/>
      <c r="E168" s="1" t="str">
        <f>IF(ISERROR(VLOOKUP(D168,Categorias!A:B,2,0)),"",VLOOKUP(D168,Categorias!A:B,2,0))</f>
        <v/>
      </c>
      <c r="F168" s="80"/>
      <c r="G168" s="5"/>
      <c r="H168" s="73">
        <f t="shared" si="2"/>
        <v>0</v>
      </c>
    </row>
    <row r="169" spans="4:8" ht="13.8">
      <c r="D169" s="1"/>
      <c r="E169" s="1" t="str">
        <f>IF(ISERROR(VLOOKUP(D169,Categorias!A:B,2,0)),"",VLOOKUP(D169,Categorias!A:B,2,0))</f>
        <v/>
      </c>
      <c r="F169" s="80"/>
      <c r="G169" s="5"/>
      <c r="H169" s="73">
        <f t="shared" si="2"/>
        <v>0</v>
      </c>
    </row>
    <row r="170" spans="4:8" ht="13.8">
      <c r="D170" s="1"/>
      <c r="E170" s="1" t="str">
        <f>IF(ISERROR(VLOOKUP(D170,Categorias!A:B,2,0)),"",VLOOKUP(D170,Categorias!A:B,2,0))</f>
        <v/>
      </c>
      <c r="F170" s="80"/>
      <c r="G170" s="5"/>
      <c r="H170" s="73">
        <f t="shared" si="2"/>
        <v>0</v>
      </c>
    </row>
    <row r="171" spans="4:8" ht="13.8">
      <c r="D171" s="1"/>
      <c r="E171" s="1" t="str">
        <f>IF(ISERROR(VLOOKUP(D171,Categorias!A:B,2,0)),"",VLOOKUP(D171,Categorias!A:B,2,0))</f>
        <v/>
      </c>
      <c r="F171" s="80"/>
      <c r="G171" s="5"/>
      <c r="H171" s="73">
        <f t="shared" si="2"/>
        <v>0</v>
      </c>
    </row>
    <row r="172" spans="4:8" ht="13.8">
      <c r="D172" s="1"/>
      <c r="E172" s="1" t="str">
        <f>IF(ISERROR(VLOOKUP(D172,Categorias!A:B,2,0)),"",VLOOKUP(D172,Categorias!A:B,2,0))</f>
        <v/>
      </c>
      <c r="F172" s="80"/>
      <c r="G172" s="5"/>
      <c r="H172" s="73">
        <f t="shared" si="2"/>
        <v>0</v>
      </c>
    </row>
    <row r="173" spans="4:8" ht="13.8">
      <c r="D173" s="1"/>
      <c r="E173" s="1" t="str">
        <f>IF(ISERROR(VLOOKUP(D173,Categorias!A:B,2,0)),"",VLOOKUP(D173,Categorias!A:B,2,0))</f>
        <v/>
      </c>
      <c r="F173" s="80"/>
      <c r="G173" s="5"/>
      <c r="H173" s="73">
        <f t="shared" si="2"/>
        <v>0</v>
      </c>
    </row>
    <row r="174" spans="4:8" ht="13.8">
      <c r="D174" s="1"/>
      <c r="E174" s="1" t="str">
        <f>IF(ISERROR(VLOOKUP(D174,Categorias!A:B,2,0)),"",VLOOKUP(D174,Categorias!A:B,2,0))</f>
        <v/>
      </c>
      <c r="F174" s="80"/>
      <c r="G174" s="5"/>
      <c r="H174" s="73">
        <f t="shared" si="2"/>
        <v>0</v>
      </c>
    </row>
    <row r="175" spans="4:8" ht="13.8">
      <c r="D175" s="1"/>
      <c r="E175" s="1" t="str">
        <f>IF(ISERROR(VLOOKUP(D175,Categorias!A:B,2,0)),"",VLOOKUP(D175,Categorias!A:B,2,0))</f>
        <v/>
      </c>
      <c r="F175" s="80"/>
      <c r="G175" s="5"/>
      <c r="H175" s="73">
        <f t="shared" si="2"/>
        <v>0</v>
      </c>
    </row>
    <row r="176" spans="4:8" ht="13.8">
      <c r="D176" s="1"/>
      <c r="E176" s="1" t="str">
        <f>IF(ISERROR(VLOOKUP(D176,Categorias!A:B,2,0)),"",VLOOKUP(D176,Categorias!A:B,2,0))</f>
        <v/>
      </c>
      <c r="F176" s="80"/>
      <c r="G176" s="5"/>
      <c r="H176" s="73">
        <f t="shared" si="2"/>
        <v>0</v>
      </c>
    </row>
    <row r="177" spans="4:8" ht="13.8">
      <c r="D177" s="1"/>
      <c r="E177" s="1" t="str">
        <f>IF(ISERROR(VLOOKUP(D177,Categorias!A:B,2,0)),"",VLOOKUP(D177,Categorias!A:B,2,0))</f>
        <v/>
      </c>
      <c r="F177" s="80"/>
      <c r="G177" s="5"/>
      <c r="H177" s="73">
        <f t="shared" si="2"/>
        <v>0</v>
      </c>
    </row>
    <row r="178" spans="4:8" ht="13.8">
      <c r="D178" s="1"/>
      <c r="E178" s="1" t="str">
        <f>IF(ISERROR(VLOOKUP(D178,Categorias!A:B,2,0)),"",VLOOKUP(D178,Categorias!A:B,2,0))</f>
        <v/>
      </c>
      <c r="F178" s="80"/>
      <c r="G178" s="5"/>
      <c r="H178" s="73">
        <f t="shared" si="2"/>
        <v>0</v>
      </c>
    </row>
    <row r="179" spans="4:8" ht="13.8">
      <c r="D179" s="1"/>
      <c r="E179" s="1" t="str">
        <f>IF(ISERROR(VLOOKUP(D179,Categorias!A:B,2,0)),"",VLOOKUP(D179,Categorias!A:B,2,0))</f>
        <v/>
      </c>
      <c r="F179" s="80"/>
      <c r="G179" s="5"/>
      <c r="H179" s="73">
        <f t="shared" si="2"/>
        <v>0</v>
      </c>
    </row>
    <row r="180" spans="4:8" ht="13.8">
      <c r="D180" s="1"/>
      <c r="E180" s="1" t="str">
        <f>IF(ISERROR(VLOOKUP(D180,Categorias!A:B,2,0)),"",VLOOKUP(D180,Categorias!A:B,2,0))</f>
        <v/>
      </c>
      <c r="F180" s="80"/>
      <c r="G180" s="5"/>
      <c r="H180" s="73">
        <f t="shared" si="2"/>
        <v>0</v>
      </c>
    </row>
    <row r="181" spans="4:8" ht="13.8">
      <c r="D181" s="1"/>
      <c r="E181" s="1" t="str">
        <f>IF(ISERROR(VLOOKUP(D181,Categorias!A:B,2,0)),"",VLOOKUP(D181,Categorias!A:B,2,0))</f>
        <v/>
      </c>
      <c r="F181" s="80"/>
      <c r="G181" s="5"/>
      <c r="H181" s="73">
        <f t="shared" si="2"/>
        <v>0</v>
      </c>
    </row>
    <row r="182" spans="4:8" ht="13.8">
      <c r="D182" s="1"/>
      <c r="E182" s="1" t="str">
        <f>IF(ISERROR(VLOOKUP(D182,Categorias!A:B,2,0)),"",VLOOKUP(D182,Categorias!A:B,2,0))</f>
        <v/>
      </c>
      <c r="F182" s="80"/>
      <c r="G182" s="5"/>
      <c r="H182" s="73">
        <f t="shared" si="2"/>
        <v>0</v>
      </c>
    </row>
    <row r="183" spans="4:8" ht="13.8">
      <c r="D183" s="1"/>
      <c r="E183" s="1" t="str">
        <f>IF(ISERROR(VLOOKUP(D183,Categorias!A:B,2,0)),"",VLOOKUP(D183,Categorias!A:B,2,0))</f>
        <v/>
      </c>
      <c r="F183" s="80"/>
      <c r="G183" s="5"/>
      <c r="H183" s="73">
        <f t="shared" si="2"/>
        <v>0</v>
      </c>
    </row>
    <row r="184" spans="4:8" ht="13.8">
      <c r="D184" s="1"/>
      <c r="E184" s="1" t="str">
        <f>IF(ISERROR(VLOOKUP(D184,Categorias!A:B,2,0)),"",VLOOKUP(D184,Categorias!A:B,2,0))</f>
        <v/>
      </c>
      <c r="F184" s="80"/>
      <c r="G184" s="5"/>
      <c r="H184" s="73">
        <f t="shared" si="2"/>
        <v>0</v>
      </c>
    </row>
    <row r="185" spans="4:8" ht="13.8">
      <c r="D185" s="1"/>
      <c r="E185" s="1" t="str">
        <f>IF(ISERROR(VLOOKUP(D185,Categorias!A:B,2,0)),"",VLOOKUP(D185,Categorias!A:B,2,0))</f>
        <v/>
      </c>
      <c r="F185" s="80"/>
      <c r="G185" s="5"/>
      <c r="H185" s="73">
        <f t="shared" si="2"/>
        <v>0</v>
      </c>
    </row>
    <row r="186" spans="4:8" ht="13.8">
      <c r="D186" s="1"/>
      <c r="E186" s="1" t="str">
        <f>IF(ISERROR(VLOOKUP(D186,Categorias!A:B,2,0)),"",VLOOKUP(D186,Categorias!A:B,2,0))</f>
        <v/>
      </c>
      <c r="F186" s="80"/>
      <c r="G186" s="5"/>
      <c r="H186" s="73">
        <f t="shared" si="2"/>
        <v>0</v>
      </c>
    </row>
    <row r="187" spans="4:8" ht="13.8">
      <c r="D187" s="1"/>
      <c r="E187" s="1" t="str">
        <f>IF(ISERROR(VLOOKUP(D187,Categorias!A:B,2,0)),"",VLOOKUP(D187,Categorias!A:B,2,0))</f>
        <v/>
      </c>
      <c r="F187" s="80"/>
      <c r="G187" s="5"/>
      <c r="H187" s="73">
        <f t="shared" si="2"/>
        <v>0</v>
      </c>
    </row>
    <row r="188" spans="4:8" ht="13.8">
      <c r="D188" s="1"/>
      <c r="E188" s="1" t="str">
        <f>IF(ISERROR(VLOOKUP(D188,Categorias!A:B,2,0)),"",VLOOKUP(D188,Categorias!A:B,2,0))</f>
        <v/>
      </c>
      <c r="F188" s="80"/>
      <c r="G188" s="5"/>
      <c r="H188" s="73">
        <f t="shared" si="2"/>
        <v>0</v>
      </c>
    </row>
    <row r="189" spans="4:8" ht="13.8">
      <c r="D189" s="1"/>
      <c r="E189" s="1" t="str">
        <f>IF(ISERROR(VLOOKUP(D189,Categorias!A:B,2,0)),"",VLOOKUP(D189,Categorias!A:B,2,0))</f>
        <v/>
      </c>
      <c r="F189" s="80"/>
      <c r="G189" s="5"/>
      <c r="H189" s="73">
        <f t="shared" si="2"/>
        <v>0</v>
      </c>
    </row>
    <row r="190" spans="4:8" ht="13.8">
      <c r="D190" s="1"/>
      <c r="E190" s="1" t="str">
        <f>IF(ISERROR(VLOOKUP(D190,Categorias!A:B,2,0)),"",VLOOKUP(D190,Categorias!A:B,2,0))</f>
        <v/>
      </c>
      <c r="F190" s="80"/>
      <c r="G190" s="5"/>
      <c r="H190" s="73">
        <f t="shared" si="2"/>
        <v>0</v>
      </c>
    </row>
    <row r="191" spans="4:8" ht="13.8">
      <c r="D191" s="1"/>
      <c r="E191" s="1" t="str">
        <f>IF(ISERROR(VLOOKUP(D191,Categorias!A:B,2,0)),"",VLOOKUP(D191,Categorias!A:B,2,0))</f>
        <v/>
      </c>
      <c r="F191" s="80"/>
      <c r="G191" s="5"/>
      <c r="H191" s="73">
        <f t="shared" si="2"/>
        <v>0</v>
      </c>
    </row>
    <row r="192" spans="4:8" ht="13.8">
      <c r="D192" s="1"/>
      <c r="E192" s="1" t="str">
        <f>IF(ISERROR(VLOOKUP(D192,Categorias!A:B,2,0)),"",VLOOKUP(D192,Categorias!A:B,2,0))</f>
        <v/>
      </c>
      <c r="F192" s="80"/>
      <c r="G192" s="5"/>
      <c r="H192" s="73">
        <f t="shared" si="2"/>
        <v>0</v>
      </c>
    </row>
    <row r="193" spans="4:8" ht="13.8">
      <c r="D193" s="1"/>
      <c r="E193" s="1" t="str">
        <f>IF(ISERROR(VLOOKUP(D193,Categorias!A:B,2,0)),"",VLOOKUP(D193,Categorias!A:B,2,0))</f>
        <v/>
      </c>
      <c r="F193" s="80"/>
      <c r="G193" s="5"/>
      <c r="H193" s="73">
        <f t="shared" si="2"/>
        <v>0</v>
      </c>
    </row>
    <row r="194" spans="4:8" ht="13.8">
      <c r="D194" s="1"/>
      <c r="E194" s="1" t="str">
        <f>IF(ISERROR(VLOOKUP(D194,Categorias!A:B,2,0)),"",VLOOKUP(D194,Categorias!A:B,2,0))</f>
        <v/>
      </c>
      <c r="F194" s="80"/>
      <c r="G194" s="5"/>
      <c r="H194" s="73">
        <f t="shared" si="2"/>
        <v>0</v>
      </c>
    </row>
    <row r="195" spans="4:8" ht="13.8">
      <c r="D195" s="1"/>
      <c r="E195" s="1" t="str">
        <f>IF(ISERROR(VLOOKUP(D195,Categorias!A:B,2,0)),"",VLOOKUP(D195,Categorias!A:B,2,0))</f>
        <v/>
      </c>
      <c r="F195" s="80"/>
      <c r="G195" s="5"/>
      <c r="H195" s="73">
        <f t="shared" si="2"/>
        <v>0</v>
      </c>
    </row>
    <row r="196" spans="4:8" ht="13.8">
      <c r="D196" s="1"/>
      <c r="E196" s="1" t="str">
        <f>IF(ISERROR(VLOOKUP(D196,Categorias!A:B,2,0)),"",VLOOKUP(D196,Categorias!A:B,2,0))</f>
        <v/>
      </c>
      <c r="F196" s="80"/>
      <c r="G196" s="5"/>
      <c r="H196" s="73">
        <f t="shared" si="2"/>
        <v>0</v>
      </c>
    </row>
    <row r="197" spans="4:8" ht="13.8">
      <c r="D197" s="1"/>
      <c r="E197" s="1" t="str">
        <f>IF(ISERROR(VLOOKUP(D197,Categorias!A:B,2,0)),"",VLOOKUP(D197,Categorias!A:B,2,0))</f>
        <v/>
      </c>
      <c r="F197" s="80"/>
      <c r="G197" s="5"/>
      <c r="H197" s="73">
        <f t="shared" si="2"/>
        <v>0</v>
      </c>
    </row>
    <row r="198" spans="4:8" ht="13.8">
      <c r="D198" s="1"/>
      <c r="E198" s="1" t="str">
        <f>IF(ISERROR(VLOOKUP(D198,Categorias!A:B,2,0)),"",VLOOKUP(D198,Categorias!A:B,2,0))</f>
        <v/>
      </c>
      <c r="F198" s="80"/>
      <c r="G198" s="5"/>
      <c r="H198" s="73">
        <f t="shared" si="2"/>
        <v>0</v>
      </c>
    </row>
    <row r="199" spans="4:8" ht="13.8">
      <c r="D199" s="1"/>
      <c r="E199" s="1" t="str">
        <f>IF(ISERROR(VLOOKUP(D199,Categorias!A:B,2,0)),"",VLOOKUP(D199,Categorias!A:B,2,0))</f>
        <v/>
      </c>
      <c r="F199" s="80"/>
      <c r="G199" s="5"/>
      <c r="H199" s="73">
        <f t="shared" si="2"/>
        <v>0</v>
      </c>
    </row>
    <row r="200" spans="4:8" ht="13.8">
      <c r="D200" s="1"/>
      <c r="E200" s="1" t="str">
        <f>IF(ISERROR(VLOOKUP(D200,Categorias!A:B,2,0)),"",VLOOKUP(D200,Categorias!A:B,2,0))</f>
        <v/>
      </c>
      <c r="F200" s="80"/>
      <c r="G200" s="5"/>
      <c r="H200" s="73">
        <f t="shared" si="2"/>
        <v>0</v>
      </c>
    </row>
    <row r="201" spans="4:8" ht="13.8">
      <c r="D201" s="1"/>
      <c r="E201" s="1" t="str">
        <f>IF(ISERROR(VLOOKUP(D201,Categorias!A:B,2,0)),"",VLOOKUP(D201,Categorias!A:B,2,0))</f>
        <v/>
      </c>
      <c r="F201" s="80"/>
      <c r="G201" s="5"/>
      <c r="H201" s="73">
        <f t="shared" si="2"/>
        <v>0</v>
      </c>
    </row>
    <row r="202" spans="4:8" ht="13.8">
      <c r="D202" s="1"/>
      <c r="E202" s="1" t="str">
        <f>IF(ISERROR(VLOOKUP(D202,Categorias!A:B,2,0)),"",VLOOKUP(D202,Categorias!A:B,2,0))</f>
        <v/>
      </c>
      <c r="F202" s="80"/>
      <c r="G202" s="5"/>
      <c r="H202" s="73">
        <f t="shared" si="2"/>
        <v>0</v>
      </c>
    </row>
    <row r="203" spans="4:8" ht="13.8">
      <c r="D203" s="1"/>
      <c r="E203" s="1" t="str">
        <f>IF(ISERROR(VLOOKUP(D203,Categorias!A:B,2,0)),"",VLOOKUP(D203,Categorias!A:B,2,0))</f>
        <v/>
      </c>
      <c r="F203" s="80"/>
      <c r="G203" s="5"/>
      <c r="H203" s="73">
        <f t="shared" si="2"/>
        <v>0</v>
      </c>
    </row>
    <row r="204" spans="4:8" ht="13.8">
      <c r="D204" s="1"/>
      <c r="E204" s="1" t="str">
        <f>IF(ISERROR(VLOOKUP(D204,Categorias!A:B,2,0)),"",VLOOKUP(D204,Categorias!A:B,2,0))</f>
        <v/>
      </c>
      <c r="F204" s="80"/>
      <c r="G204" s="5"/>
      <c r="H204" s="73">
        <f t="shared" si="2"/>
        <v>0</v>
      </c>
    </row>
    <row r="205" spans="4:8" ht="13.8">
      <c r="D205" s="1"/>
      <c r="E205" s="1" t="str">
        <f>IF(ISERROR(VLOOKUP(D205,Categorias!A:B,2,0)),"",VLOOKUP(D205,Categorias!A:B,2,0))</f>
        <v/>
      </c>
      <c r="F205" s="80"/>
      <c r="G205" s="5"/>
      <c r="H205" s="73">
        <f t="shared" si="2"/>
        <v>0</v>
      </c>
    </row>
    <row r="206" spans="4:8" ht="13.8">
      <c r="D206" s="1"/>
      <c r="E206" s="1" t="str">
        <f>IF(ISERROR(VLOOKUP(D206,Categorias!A:B,2,0)),"",VLOOKUP(D206,Categorias!A:B,2,0))</f>
        <v/>
      </c>
      <c r="F206" s="80"/>
      <c r="G206" s="5"/>
      <c r="H206" s="73">
        <f t="shared" ref="H206:H254" si="3">H205+F206-G206</f>
        <v>0</v>
      </c>
    </row>
    <row r="207" spans="4:8" ht="13.8">
      <c r="D207" s="1"/>
      <c r="E207" s="1" t="str">
        <f>IF(ISERROR(VLOOKUP(D207,Categorias!A:B,2,0)),"",VLOOKUP(D207,Categorias!A:B,2,0))</f>
        <v/>
      </c>
      <c r="F207" s="80"/>
      <c r="G207" s="5"/>
      <c r="H207" s="73">
        <f t="shared" si="3"/>
        <v>0</v>
      </c>
    </row>
    <row r="208" spans="4:8" ht="13.8">
      <c r="D208" s="1"/>
      <c r="E208" s="1" t="str">
        <f>IF(ISERROR(VLOOKUP(D208,Categorias!A:B,2,0)),"",VLOOKUP(D208,Categorias!A:B,2,0))</f>
        <v/>
      </c>
      <c r="F208" s="80"/>
      <c r="G208" s="5"/>
      <c r="H208" s="73">
        <f t="shared" si="3"/>
        <v>0</v>
      </c>
    </row>
    <row r="209" spans="4:8" ht="13.8">
      <c r="D209" s="1"/>
      <c r="E209" s="1" t="str">
        <f>IF(ISERROR(VLOOKUP(D209,Categorias!A:B,2,0)),"",VLOOKUP(D209,Categorias!A:B,2,0))</f>
        <v/>
      </c>
      <c r="F209" s="80"/>
      <c r="G209" s="5"/>
      <c r="H209" s="73">
        <f t="shared" si="3"/>
        <v>0</v>
      </c>
    </row>
    <row r="210" spans="4:8" ht="13.8">
      <c r="D210" s="1"/>
      <c r="E210" s="1" t="str">
        <f>IF(ISERROR(VLOOKUP(D210,Categorias!A:B,2,0)),"",VLOOKUP(D210,Categorias!A:B,2,0))</f>
        <v/>
      </c>
      <c r="F210" s="80"/>
      <c r="G210" s="5"/>
      <c r="H210" s="73">
        <f t="shared" si="3"/>
        <v>0</v>
      </c>
    </row>
    <row r="211" spans="4:8" ht="13.8">
      <c r="D211" s="1"/>
      <c r="E211" s="1" t="str">
        <f>IF(ISERROR(VLOOKUP(D211,Categorias!A:B,2,0)),"",VLOOKUP(D211,Categorias!A:B,2,0))</f>
        <v/>
      </c>
      <c r="F211" s="80"/>
      <c r="G211" s="5"/>
      <c r="H211" s="73">
        <f t="shared" si="3"/>
        <v>0</v>
      </c>
    </row>
    <row r="212" spans="4:8" ht="13.8">
      <c r="D212" s="1"/>
      <c r="E212" s="1" t="str">
        <f>IF(ISERROR(VLOOKUP(D212,Categorias!A:B,2,0)),"",VLOOKUP(D212,Categorias!A:B,2,0))</f>
        <v/>
      </c>
      <c r="F212" s="80"/>
      <c r="G212" s="5"/>
      <c r="H212" s="73">
        <f t="shared" si="3"/>
        <v>0</v>
      </c>
    </row>
    <row r="213" spans="4:8" ht="13.8">
      <c r="D213" s="1"/>
      <c r="E213" s="1" t="str">
        <f>IF(ISERROR(VLOOKUP(D213,Categorias!A:B,2,0)),"",VLOOKUP(D213,Categorias!A:B,2,0))</f>
        <v/>
      </c>
      <c r="F213" s="80"/>
      <c r="G213" s="5"/>
      <c r="H213" s="73">
        <f t="shared" si="3"/>
        <v>0</v>
      </c>
    </row>
    <row r="214" spans="4:8" ht="13.8">
      <c r="D214" s="1"/>
      <c r="E214" s="1" t="str">
        <f>IF(ISERROR(VLOOKUP(D214,Categorias!A:B,2,0)),"",VLOOKUP(D214,Categorias!A:B,2,0))</f>
        <v/>
      </c>
      <c r="F214" s="80"/>
      <c r="G214" s="5"/>
      <c r="H214" s="73">
        <f t="shared" si="3"/>
        <v>0</v>
      </c>
    </row>
    <row r="215" spans="4:8" ht="13.8">
      <c r="D215" s="1"/>
      <c r="E215" s="1" t="str">
        <f>IF(ISERROR(VLOOKUP(D215,Categorias!A:B,2,0)),"",VLOOKUP(D215,Categorias!A:B,2,0))</f>
        <v/>
      </c>
      <c r="F215" s="80"/>
      <c r="G215" s="5"/>
      <c r="H215" s="73">
        <f t="shared" si="3"/>
        <v>0</v>
      </c>
    </row>
    <row r="216" spans="4:8" ht="13.8">
      <c r="D216" s="1"/>
      <c r="E216" s="1" t="str">
        <f>IF(ISERROR(VLOOKUP(D216,Categorias!A:B,2,0)),"",VLOOKUP(D216,Categorias!A:B,2,0))</f>
        <v/>
      </c>
      <c r="F216" s="80"/>
      <c r="G216" s="5"/>
      <c r="H216" s="73">
        <f t="shared" si="3"/>
        <v>0</v>
      </c>
    </row>
    <row r="217" spans="4:8" ht="13.8">
      <c r="D217" s="1"/>
      <c r="E217" s="1" t="str">
        <f>IF(ISERROR(VLOOKUP(D217,Categorias!A:B,2,0)),"",VLOOKUP(D217,Categorias!A:B,2,0))</f>
        <v/>
      </c>
      <c r="F217" s="80"/>
      <c r="G217" s="5"/>
      <c r="H217" s="73">
        <f t="shared" si="3"/>
        <v>0</v>
      </c>
    </row>
    <row r="218" spans="4:8" ht="13.8">
      <c r="D218" s="1"/>
      <c r="E218" s="1" t="str">
        <f>IF(ISERROR(VLOOKUP(D218,Categorias!A:B,2,0)),"",VLOOKUP(D218,Categorias!A:B,2,0))</f>
        <v/>
      </c>
      <c r="F218" s="80"/>
      <c r="G218" s="5"/>
      <c r="H218" s="73">
        <f t="shared" si="3"/>
        <v>0</v>
      </c>
    </row>
    <row r="219" spans="4:8" ht="13.8">
      <c r="D219" s="1"/>
      <c r="E219" s="1" t="str">
        <f>IF(ISERROR(VLOOKUP(D219,Categorias!A:B,2,0)),"",VLOOKUP(D219,Categorias!A:B,2,0))</f>
        <v/>
      </c>
      <c r="F219" s="80"/>
      <c r="G219" s="5"/>
      <c r="H219" s="73">
        <f t="shared" si="3"/>
        <v>0</v>
      </c>
    </row>
    <row r="220" spans="4:8" ht="13.8">
      <c r="D220" s="1"/>
      <c r="E220" s="1" t="str">
        <f>IF(ISERROR(VLOOKUP(D220,Categorias!A:B,2,0)),"",VLOOKUP(D220,Categorias!A:B,2,0))</f>
        <v/>
      </c>
      <c r="F220" s="80"/>
      <c r="G220" s="5"/>
      <c r="H220" s="73">
        <f t="shared" si="3"/>
        <v>0</v>
      </c>
    </row>
    <row r="221" spans="4:8" ht="13.8">
      <c r="D221" s="1"/>
      <c r="E221" s="1" t="str">
        <f>IF(ISERROR(VLOOKUP(D221,Categorias!A:B,2,0)),"",VLOOKUP(D221,Categorias!A:B,2,0))</f>
        <v/>
      </c>
      <c r="F221" s="80"/>
      <c r="G221" s="5"/>
      <c r="H221" s="73">
        <f t="shared" si="3"/>
        <v>0</v>
      </c>
    </row>
    <row r="222" spans="4:8" ht="13.8">
      <c r="D222" s="1"/>
      <c r="E222" s="1" t="str">
        <f>IF(ISERROR(VLOOKUP(D222,Categorias!A:B,2,0)),"",VLOOKUP(D222,Categorias!A:B,2,0))</f>
        <v/>
      </c>
      <c r="F222" s="80"/>
      <c r="G222" s="5"/>
      <c r="H222" s="73">
        <f t="shared" si="3"/>
        <v>0</v>
      </c>
    </row>
    <row r="223" spans="4:8" ht="13.8">
      <c r="D223" s="1"/>
      <c r="E223" s="1" t="str">
        <f>IF(ISERROR(VLOOKUP(D223,Categorias!A:B,2,0)),"",VLOOKUP(D223,Categorias!A:B,2,0))</f>
        <v/>
      </c>
      <c r="F223" s="80"/>
      <c r="G223" s="5"/>
      <c r="H223" s="73">
        <f t="shared" si="3"/>
        <v>0</v>
      </c>
    </row>
    <row r="224" spans="4:8" ht="13.8">
      <c r="D224" s="1"/>
      <c r="E224" s="1" t="str">
        <f>IF(ISERROR(VLOOKUP(D224,Categorias!A:B,2,0)),"",VLOOKUP(D224,Categorias!A:B,2,0))</f>
        <v/>
      </c>
      <c r="F224" s="80"/>
      <c r="G224" s="5"/>
      <c r="H224" s="73">
        <f t="shared" si="3"/>
        <v>0</v>
      </c>
    </row>
    <row r="225" spans="4:8" ht="13.8">
      <c r="D225" s="1"/>
      <c r="E225" s="1" t="str">
        <f>IF(ISERROR(VLOOKUP(D225,Categorias!A:B,2,0)),"",VLOOKUP(D225,Categorias!A:B,2,0))</f>
        <v/>
      </c>
      <c r="F225" s="80"/>
      <c r="G225" s="5"/>
      <c r="H225" s="73">
        <f t="shared" si="3"/>
        <v>0</v>
      </c>
    </row>
    <row r="226" spans="4:8" ht="13.8">
      <c r="D226" s="1"/>
      <c r="E226" s="1" t="str">
        <f>IF(ISERROR(VLOOKUP(D226,Categorias!A:B,2,0)),"",VLOOKUP(D226,Categorias!A:B,2,0))</f>
        <v/>
      </c>
      <c r="F226" s="80"/>
      <c r="G226" s="5"/>
      <c r="H226" s="73">
        <f t="shared" si="3"/>
        <v>0</v>
      </c>
    </row>
    <row r="227" spans="4:8" ht="13.8">
      <c r="D227" s="1"/>
      <c r="E227" s="1" t="str">
        <f>IF(ISERROR(VLOOKUP(D227,Categorias!A:B,2,0)),"",VLOOKUP(D227,Categorias!A:B,2,0))</f>
        <v/>
      </c>
      <c r="F227" s="80"/>
      <c r="G227" s="5"/>
      <c r="H227" s="73">
        <f t="shared" si="3"/>
        <v>0</v>
      </c>
    </row>
    <row r="228" spans="4:8" ht="13.8">
      <c r="D228" s="1"/>
      <c r="E228" s="1" t="str">
        <f>IF(ISERROR(VLOOKUP(D228,Categorias!A:B,2,0)),"",VLOOKUP(D228,Categorias!A:B,2,0))</f>
        <v/>
      </c>
      <c r="F228" s="80"/>
      <c r="G228" s="5"/>
      <c r="H228" s="73">
        <f t="shared" si="3"/>
        <v>0</v>
      </c>
    </row>
    <row r="229" spans="4:8" ht="13.8">
      <c r="D229" s="1"/>
      <c r="E229" s="1" t="str">
        <f>IF(ISERROR(VLOOKUP(D229,Categorias!A:B,2,0)),"",VLOOKUP(D229,Categorias!A:B,2,0))</f>
        <v/>
      </c>
      <c r="F229" s="80"/>
      <c r="G229" s="5"/>
      <c r="H229" s="73">
        <f t="shared" si="3"/>
        <v>0</v>
      </c>
    </row>
    <row r="230" spans="4:8" ht="13.8">
      <c r="D230" s="1"/>
      <c r="E230" s="1" t="str">
        <f>IF(ISERROR(VLOOKUP(D230,Categorias!A:B,2,0)),"",VLOOKUP(D230,Categorias!A:B,2,0))</f>
        <v/>
      </c>
      <c r="F230" s="80"/>
      <c r="G230" s="5"/>
      <c r="H230" s="73">
        <f t="shared" si="3"/>
        <v>0</v>
      </c>
    </row>
    <row r="231" spans="4:8" ht="13.8">
      <c r="D231" s="1"/>
      <c r="E231" s="1" t="str">
        <f>IF(ISERROR(VLOOKUP(D231,Categorias!A:B,2,0)),"",VLOOKUP(D231,Categorias!A:B,2,0))</f>
        <v/>
      </c>
      <c r="F231" s="80"/>
      <c r="G231" s="5"/>
      <c r="H231" s="73">
        <f t="shared" si="3"/>
        <v>0</v>
      </c>
    </row>
    <row r="232" spans="4:8" ht="13.8">
      <c r="D232" s="1"/>
      <c r="E232" s="1" t="str">
        <f>IF(ISERROR(VLOOKUP(D232,Categorias!A:B,2,0)),"",VLOOKUP(D232,Categorias!A:B,2,0))</f>
        <v/>
      </c>
      <c r="F232" s="80"/>
      <c r="G232" s="5"/>
      <c r="H232" s="73">
        <f t="shared" si="3"/>
        <v>0</v>
      </c>
    </row>
    <row r="233" spans="4:8" ht="13.8">
      <c r="D233" s="1"/>
      <c r="E233" s="1" t="str">
        <f>IF(ISERROR(VLOOKUP(D233,Categorias!A:B,2,0)),"",VLOOKUP(D233,Categorias!A:B,2,0))</f>
        <v/>
      </c>
      <c r="F233" s="80"/>
      <c r="G233" s="5"/>
      <c r="H233" s="73">
        <f t="shared" si="3"/>
        <v>0</v>
      </c>
    </row>
    <row r="234" spans="4:8" ht="13.8">
      <c r="D234" s="1"/>
      <c r="E234" s="1" t="str">
        <f>IF(ISERROR(VLOOKUP(D234,Categorias!A:B,2,0)),"",VLOOKUP(D234,Categorias!A:B,2,0))</f>
        <v/>
      </c>
      <c r="F234" s="80"/>
      <c r="G234" s="5"/>
      <c r="H234" s="73">
        <f t="shared" si="3"/>
        <v>0</v>
      </c>
    </row>
    <row r="235" spans="4:8" ht="13.8">
      <c r="D235" s="1"/>
      <c r="E235" s="1" t="str">
        <f>IF(ISERROR(VLOOKUP(D235,Categorias!A:B,2,0)),"",VLOOKUP(D235,Categorias!A:B,2,0))</f>
        <v/>
      </c>
      <c r="F235" s="80"/>
      <c r="G235" s="5"/>
      <c r="H235" s="73">
        <f t="shared" si="3"/>
        <v>0</v>
      </c>
    </row>
    <row r="236" spans="4:8" ht="13.8">
      <c r="D236" s="1"/>
      <c r="E236" s="1" t="str">
        <f>IF(ISERROR(VLOOKUP(D236,Categorias!A:B,2,0)),"",VLOOKUP(D236,Categorias!A:B,2,0))</f>
        <v/>
      </c>
      <c r="F236" s="80"/>
      <c r="G236" s="5"/>
      <c r="H236" s="73">
        <f t="shared" si="3"/>
        <v>0</v>
      </c>
    </row>
    <row r="237" spans="4:8" ht="13.8">
      <c r="D237" s="1"/>
      <c r="E237" s="1" t="str">
        <f>IF(ISERROR(VLOOKUP(D237,Categorias!A:B,2,0)),"",VLOOKUP(D237,Categorias!A:B,2,0))</f>
        <v/>
      </c>
      <c r="F237" s="80"/>
      <c r="G237" s="5"/>
      <c r="H237" s="73">
        <f t="shared" si="3"/>
        <v>0</v>
      </c>
    </row>
    <row r="238" spans="4:8" ht="13.8">
      <c r="D238" s="1"/>
      <c r="E238" s="1" t="str">
        <f>IF(ISERROR(VLOOKUP(D238,Categorias!A:B,2,0)),"",VLOOKUP(D238,Categorias!A:B,2,0))</f>
        <v/>
      </c>
      <c r="F238" s="80"/>
      <c r="G238" s="5"/>
      <c r="H238" s="73">
        <f t="shared" si="3"/>
        <v>0</v>
      </c>
    </row>
    <row r="239" spans="4:8" ht="13.8">
      <c r="D239" s="1"/>
      <c r="E239" s="1" t="str">
        <f>IF(ISERROR(VLOOKUP(D239,Categorias!A:B,2,0)),"",VLOOKUP(D239,Categorias!A:B,2,0))</f>
        <v/>
      </c>
      <c r="F239" s="80"/>
      <c r="G239" s="5"/>
      <c r="H239" s="73">
        <f t="shared" si="3"/>
        <v>0</v>
      </c>
    </row>
    <row r="240" spans="4:8" ht="13.8">
      <c r="D240" s="1"/>
      <c r="E240" s="1" t="str">
        <f>IF(ISERROR(VLOOKUP(D240,Categorias!A:B,2,0)),"",VLOOKUP(D240,Categorias!A:B,2,0))</f>
        <v/>
      </c>
      <c r="F240" s="80"/>
      <c r="G240" s="5"/>
      <c r="H240" s="73">
        <f t="shared" si="3"/>
        <v>0</v>
      </c>
    </row>
    <row r="241" spans="4:8" ht="13.8">
      <c r="D241" s="1"/>
      <c r="E241" s="1" t="str">
        <f>IF(ISERROR(VLOOKUP(D241,Categorias!A:B,2,0)),"",VLOOKUP(D241,Categorias!A:B,2,0))</f>
        <v/>
      </c>
      <c r="F241" s="80"/>
      <c r="G241" s="5"/>
      <c r="H241" s="73">
        <f t="shared" si="3"/>
        <v>0</v>
      </c>
    </row>
    <row r="242" spans="4:8" ht="13.8">
      <c r="D242" s="1"/>
      <c r="E242" s="1" t="str">
        <f>IF(ISERROR(VLOOKUP(D242,Categorias!A:B,2,0)),"",VLOOKUP(D242,Categorias!A:B,2,0))</f>
        <v/>
      </c>
      <c r="F242" s="80"/>
      <c r="G242" s="5"/>
      <c r="H242" s="73">
        <f t="shared" si="3"/>
        <v>0</v>
      </c>
    </row>
    <row r="243" spans="4:8" ht="13.8">
      <c r="D243" s="1"/>
      <c r="E243" s="1" t="str">
        <f>IF(ISERROR(VLOOKUP(D243,Categorias!A:B,2,0)),"",VLOOKUP(D243,Categorias!A:B,2,0))</f>
        <v/>
      </c>
      <c r="F243" s="80"/>
      <c r="G243" s="5"/>
      <c r="H243" s="73">
        <f t="shared" si="3"/>
        <v>0</v>
      </c>
    </row>
    <row r="244" spans="4:8" ht="13.8">
      <c r="D244" s="1"/>
      <c r="E244" s="1" t="str">
        <f>IF(ISERROR(VLOOKUP(D244,Categorias!A:B,2,0)),"",VLOOKUP(D244,Categorias!A:B,2,0))</f>
        <v/>
      </c>
      <c r="F244" s="80"/>
      <c r="G244" s="5"/>
      <c r="H244" s="73">
        <f t="shared" si="3"/>
        <v>0</v>
      </c>
    </row>
    <row r="245" spans="4:8" ht="13.8">
      <c r="D245" s="1"/>
      <c r="E245" s="1" t="str">
        <f>IF(ISERROR(VLOOKUP(D245,Categorias!A:B,2,0)),"",VLOOKUP(D245,Categorias!A:B,2,0))</f>
        <v/>
      </c>
      <c r="F245" s="80"/>
      <c r="G245" s="5"/>
      <c r="H245" s="73">
        <f t="shared" si="3"/>
        <v>0</v>
      </c>
    </row>
    <row r="246" spans="4:8" ht="13.8">
      <c r="D246" s="1"/>
      <c r="E246" s="1" t="str">
        <f>IF(ISERROR(VLOOKUP(D246,Categorias!A:B,2,0)),"",VLOOKUP(D246,Categorias!A:B,2,0))</f>
        <v/>
      </c>
      <c r="F246" s="80"/>
      <c r="G246" s="5"/>
      <c r="H246" s="73">
        <f t="shared" si="3"/>
        <v>0</v>
      </c>
    </row>
    <row r="247" spans="4:8" ht="13.8">
      <c r="D247" s="1"/>
      <c r="E247" s="1" t="str">
        <f>IF(ISERROR(VLOOKUP(D247,Categorias!A:B,2,0)),"",VLOOKUP(D247,Categorias!A:B,2,0))</f>
        <v/>
      </c>
      <c r="F247" s="80"/>
      <c r="G247" s="5"/>
      <c r="H247" s="73">
        <f t="shared" si="3"/>
        <v>0</v>
      </c>
    </row>
    <row r="248" spans="4:8" ht="13.8">
      <c r="D248" s="1"/>
      <c r="E248" s="1" t="str">
        <f>IF(ISERROR(VLOOKUP(D248,Categorias!A:B,2,0)),"",VLOOKUP(D248,Categorias!A:B,2,0))</f>
        <v/>
      </c>
      <c r="F248" s="80"/>
      <c r="G248" s="5"/>
      <c r="H248" s="73">
        <f t="shared" si="3"/>
        <v>0</v>
      </c>
    </row>
    <row r="249" spans="4:8" ht="13.8">
      <c r="D249" s="1"/>
      <c r="E249" s="1" t="str">
        <f>IF(ISERROR(VLOOKUP(D249,Categorias!A:B,2,0)),"",VLOOKUP(D249,Categorias!A:B,2,0))</f>
        <v/>
      </c>
      <c r="F249" s="80"/>
      <c r="G249" s="5"/>
      <c r="H249" s="73">
        <f t="shared" si="3"/>
        <v>0</v>
      </c>
    </row>
    <row r="250" spans="4:8" ht="13.8">
      <c r="D250" s="1"/>
      <c r="E250" s="1" t="str">
        <f>IF(ISERROR(VLOOKUP(D250,Categorias!A:B,2,0)),"",VLOOKUP(D250,Categorias!A:B,2,0))</f>
        <v/>
      </c>
      <c r="F250" s="80"/>
      <c r="G250" s="5"/>
      <c r="H250" s="73">
        <f t="shared" si="3"/>
        <v>0</v>
      </c>
    </row>
    <row r="251" spans="4:8" ht="13.8">
      <c r="D251" s="1"/>
      <c r="E251" s="1" t="str">
        <f>IF(ISERROR(VLOOKUP(D251,Categorias!A:B,2,0)),"",VLOOKUP(D251,Categorias!A:B,2,0))</f>
        <v/>
      </c>
      <c r="F251" s="80"/>
      <c r="G251" s="5"/>
      <c r="H251" s="73">
        <f t="shared" si="3"/>
        <v>0</v>
      </c>
    </row>
    <row r="252" spans="4:8" ht="13.8">
      <c r="D252" s="1"/>
      <c r="E252" s="1" t="str">
        <f>IF(ISERROR(VLOOKUP(D252,Categorias!A:B,2,0)),"",VLOOKUP(D252,Categorias!A:B,2,0))</f>
        <v/>
      </c>
      <c r="F252" s="80"/>
      <c r="G252" s="5"/>
      <c r="H252" s="73">
        <f t="shared" si="3"/>
        <v>0</v>
      </c>
    </row>
    <row r="253" spans="4:8" ht="13.8">
      <c r="D253" s="1"/>
      <c r="E253" s="1" t="str">
        <f>IF(ISERROR(VLOOKUP(D253,Categorias!A:B,2,0)),"",VLOOKUP(D253,Categorias!A:B,2,0))</f>
        <v/>
      </c>
      <c r="F253" s="80"/>
      <c r="G253" s="5"/>
      <c r="H253" s="73">
        <f t="shared" si="3"/>
        <v>0</v>
      </c>
    </row>
    <row r="254" spans="4:8" ht="13.8">
      <c r="D254" s="1"/>
      <c r="E254" s="1" t="str">
        <f>IF(ISERROR(VLOOKUP(D254,Categorias!A:B,2,0)),"",VLOOKUP(D254,Categorias!A:B,2,0))</f>
        <v/>
      </c>
      <c r="F254" s="80"/>
      <c r="G254" s="5"/>
      <c r="H254" s="73">
        <f t="shared" si="3"/>
        <v>0</v>
      </c>
    </row>
    <row r="255" spans="4:8" ht="13.8">
      <c r="F255" s="81"/>
      <c r="G255" s="6"/>
      <c r="H255" s="60"/>
    </row>
    <row r="256" spans="4:8" ht="13.8">
      <c r="F256" s="81"/>
      <c r="G256" s="6"/>
      <c r="H256" s="60"/>
    </row>
    <row r="257" spans="6:8" ht="13.8">
      <c r="F257" s="81"/>
      <c r="G257" s="6"/>
      <c r="H257" s="60"/>
    </row>
    <row r="258" spans="6:8" ht="13.8">
      <c r="F258" s="81"/>
      <c r="G258" s="6"/>
      <c r="H258" s="60"/>
    </row>
    <row r="259" spans="6:8" ht="13.8">
      <c r="F259" s="81"/>
      <c r="G259" s="6"/>
      <c r="H259" s="60"/>
    </row>
    <row r="260" spans="6:8" ht="13.8">
      <c r="F260" s="81"/>
      <c r="G260" s="6"/>
      <c r="H260" s="60"/>
    </row>
    <row r="261" spans="6:8" ht="13.8">
      <c r="F261" s="81"/>
      <c r="G261" s="6"/>
      <c r="H261" s="60"/>
    </row>
    <row r="262" spans="6:8" ht="13.8">
      <c r="F262" s="81"/>
      <c r="G262" s="6"/>
      <c r="H262" s="60"/>
    </row>
    <row r="263" spans="6:8" ht="13.8">
      <c r="F263" s="81"/>
      <c r="G263" s="6"/>
      <c r="H263" s="60"/>
    </row>
    <row r="264" spans="6:8" ht="13.8">
      <c r="F264" s="81"/>
      <c r="G264" s="6"/>
      <c r="H264" s="60"/>
    </row>
    <row r="265" spans="6:8" ht="13.8">
      <c r="F265" s="81"/>
      <c r="G265" s="6"/>
      <c r="H265" s="60"/>
    </row>
    <row r="266" spans="6:8" ht="13.8">
      <c r="F266" s="81"/>
      <c r="G266" s="6"/>
      <c r="H266" s="60"/>
    </row>
    <row r="267" spans="6:8" ht="13.8">
      <c r="F267" s="81"/>
      <c r="G267" s="6"/>
      <c r="H267" s="60"/>
    </row>
    <row r="268" spans="6:8" ht="13.8">
      <c r="F268" s="81"/>
      <c r="G268" s="6"/>
      <c r="H268" s="60"/>
    </row>
    <row r="269" spans="6:8" ht="13.8">
      <c r="F269" s="81"/>
      <c r="G269" s="6"/>
      <c r="H269" s="60"/>
    </row>
    <row r="270" spans="6:8" ht="13.8">
      <c r="F270" s="81"/>
      <c r="G270" s="6"/>
      <c r="H270" s="60"/>
    </row>
    <row r="271" spans="6:8" ht="13.8">
      <c r="F271" s="81"/>
      <c r="G271" s="6"/>
      <c r="H271" s="60"/>
    </row>
    <row r="272" spans="6:8" ht="13.8">
      <c r="F272" s="81"/>
      <c r="G272" s="6"/>
      <c r="H272" s="60"/>
    </row>
    <row r="273" spans="6:8" ht="13.8">
      <c r="F273" s="81"/>
      <c r="G273" s="6"/>
      <c r="H273" s="60"/>
    </row>
    <row r="274" spans="6:8" ht="13.8">
      <c r="F274" s="81"/>
      <c r="G274" s="6"/>
      <c r="H274" s="60"/>
    </row>
    <row r="275" spans="6:8" ht="13.8">
      <c r="F275" s="81"/>
      <c r="G275" s="6"/>
      <c r="H275" s="60"/>
    </row>
    <row r="276" spans="6:8" ht="13.8">
      <c r="F276" s="81"/>
      <c r="G276" s="6"/>
      <c r="H276" s="60"/>
    </row>
    <row r="277" spans="6:8" ht="13.8">
      <c r="F277" s="81"/>
      <c r="G277" s="6"/>
      <c r="H277" s="60"/>
    </row>
    <row r="278" spans="6:8" ht="13.8">
      <c r="F278" s="81"/>
      <c r="G278" s="6"/>
      <c r="H278" s="60"/>
    </row>
    <row r="279" spans="6:8" ht="13.8">
      <c r="F279" s="81"/>
      <c r="G279" s="6"/>
      <c r="H279" s="60"/>
    </row>
    <row r="280" spans="6:8" ht="13.8">
      <c r="F280" s="81"/>
      <c r="G280" s="6"/>
      <c r="H280" s="60"/>
    </row>
    <row r="281" spans="6:8" ht="13.8">
      <c r="F281" s="81"/>
      <c r="G281" s="6"/>
      <c r="H281" s="60"/>
    </row>
    <row r="282" spans="6:8" ht="13.8">
      <c r="F282" s="81"/>
      <c r="G282" s="6"/>
      <c r="H282" s="60"/>
    </row>
    <row r="283" spans="6:8" ht="13.8">
      <c r="F283" s="81"/>
      <c r="G283" s="6"/>
      <c r="H283" s="60"/>
    </row>
    <row r="284" spans="6:8" ht="13.8">
      <c r="F284" s="81"/>
      <c r="G284" s="6"/>
      <c r="H284" s="60"/>
    </row>
    <row r="285" spans="6:8" ht="13.8">
      <c r="F285" s="81"/>
      <c r="G285" s="6"/>
      <c r="H285" s="60"/>
    </row>
    <row r="286" spans="6:8" ht="13.8">
      <c r="F286" s="81"/>
      <c r="G286" s="6"/>
      <c r="H286" s="60"/>
    </row>
    <row r="287" spans="6:8" ht="13.8">
      <c r="F287" s="81"/>
      <c r="G287" s="6"/>
      <c r="H287" s="60"/>
    </row>
    <row r="288" spans="6:8" ht="13.8">
      <c r="F288" s="81"/>
      <c r="G288" s="6"/>
      <c r="H288" s="60"/>
    </row>
    <row r="289" spans="6:8" ht="13.8">
      <c r="F289" s="81"/>
      <c r="G289" s="6"/>
      <c r="H289" s="60"/>
    </row>
    <row r="290" spans="6:8" ht="13.8">
      <c r="F290" s="81"/>
      <c r="G290" s="6"/>
      <c r="H290" s="60"/>
    </row>
    <row r="291" spans="6:8" ht="13.8">
      <c r="F291" s="81"/>
      <c r="G291" s="6"/>
      <c r="H291" s="60"/>
    </row>
    <row r="292" spans="6:8" ht="13.8">
      <c r="F292" s="81"/>
      <c r="G292" s="6"/>
      <c r="H292" s="60"/>
    </row>
    <row r="293" spans="6:8" ht="13.8">
      <c r="F293" s="81"/>
      <c r="G293" s="6"/>
      <c r="H293" s="60"/>
    </row>
    <row r="294" spans="6:8" ht="13.8">
      <c r="F294" s="81"/>
      <c r="G294" s="6"/>
      <c r="H294" s="60"/>
    </row>
    <row r="295" spans="6:8" ht="13.8">
      <c r="F295" s="81"/>
      <c r="G295" s="6"/>
      <c r="H295" s="60"/>
    </row>
    <row r="296" spans="6:8" ht="13.8">
      <c r="F296" s="81"/>
      <c r="G296" s="6"/>
      <c r="H296" s="60"/>
    </row>
    <row r="297" spans="6:8" ht="13.8">
      <c r="F297" s="81"/>
      <c r="G297" s="6"/>
      <c r="H297" s="60"/>
    </row>
    <row r="298" spans="6:8" ht="13.8">
      <c r="F298" s="81"/>
      <c r="G298" s="6"/>
      <c r="H298" s="60"/>
    </row>
    <row r="299" spans="6:8" ht="13.8">
      <c r="F299" s="81"/>
      <c r="G299" s="6"/>
      <c r="H299" s="60"/>
    </row>
    <row r="300" spans="6:8" ht="13.8">
      <c r="F300" s="81"/>
      <c r="G300" s="6"/>
      <c r="H300" s="60"/>
    </row>
    <row r="301" spans="6:8" ht="13.8">
      <c r="F301" s="81"/>
      <c r="G301" s="6"/>
      <c r="H301" s="60"/>
    </row>
    <row r="302" spans="6:8" ht="13.8">
      <c r="F302" s="81"/>
      <c r="G302" s="6"/>
      <c r="H302" s="60"/>
    </row>
    <row r="303" spans="6:8" ht="13.8">
      <c r="F303" s="81"/>
      <c r="G303" s="6"/>
      <c r="H303" s="60"/>
    </row>
    <row r="304" spans="6:8" ht="13.8">
      <c r="F304" s="81"/>
      <c r="G304" s="6"/>
      <c r="H304" s="60"/>
    </row>
    <row r="305" spans="6:8" ht="13.8">
      <c r="F305" s="81"/>
      <c r="G305" s="6"/>
      <c r="H305" s="60"/>
    </row>
    <row r="306" spans="6:8" ht="13.8">
      <c r="F306" s="81"/>
      <c r="G306" s="6"/>
      <c r="H306" s="60"/>
    </row>
    <row r="307" spans="6:8" ht="13.8">
      <c r="F307" s="81"/>
      <c r="G307" s="6"/>
      <c r="H307" s="60"/>
    </row>
    <row r="308" spans="6:8" ht="13.8">
      <c r="F308" s="81"/>
      <c r="G308" s="6"/>
      <c r="H308" s="60"/>
    </row>
    <row r="309" spans="6:8" ht="13.8">
      <c r="F309" s="81"/>
      <c r="G309" s="6"/>
      <c r="H309" s="60"/>
    </row>
    <row r="310" spans="6:8" ht="13.8">
      <c r="F310" s="81"/>
      <c r="G310" s="6"/>
      <c r="H310" s="60"/>
    </row>
    <row r="311" spans="6:8" ht="13.8">
      <c r="F311" s="81"/>
      <c r="G311" s="6"/>
      <c r="H311" s="60"/>
    </row>
    <row r="312" spans="6:8" ht="13.8">
      <c r="F312" s="81"/>
      <c r="G312" s="6"/>
      <c r="H312" s="60"/>
    </row>
    <row r="313" spans="6:8" ht="13.8">
      <c r="F313" s="81"/>
      <c r="G313" s="6"/>
      <c r="H313" s="60"/>
    </row>
    <row r="314" spans="6:8" ht="13.8">
      <c r="F314" s="81"/>
      <c r="G314" s="6"/>
      <c r="H314" s="60"/>
    </row>
    <row r="315" spans="6:8" ht="13.8">
      <c r="F315" s="81"/>
      <c r="G315" s="6"/>
      <c r="H315" s="60"/>
    </row>
    <row r="316" spans="6:8" ht="13.8">
      <c r="F316" s="81"/>
      <c r="G316" s="6"/>
      <c r="H316" s="60"/>
    </row>
    <row r="317" spans="6:8" ht="13.8">
      <c r="F317" s="81"/>
      <c r="G317" s="6"/>
      <c r="H317" s="60"/>
    </row>
    <row r="318" spans="6:8" ht="13.8">
      <c r="F318" s="81"/>
      <c r="G318" s="6"/>
      <c r="H318" s="60"/>
    </row>
    <row r="319" spans="6:8" ht="13.8">
      <c r="F319" s="81"/>
      <c r="G319" s="6"/>
      <c r="H319" s="60"/>
    </row>
    <row r="320" spans="6:8" ht="13.8">
      <c r="F320" s="81"/>
      <c r="G320" s="6"/>
      <c r="H320" s="60"/>
    </row>
    <row r="321" spans="6:8" ht="13.8">
      <c r="F321" s="81"/>
      <c r="G321" s="6"/>
      <c r="H321" s="60"/>
    </row>
    <row r="322" spans="6:8" ht="13.8">
      <c r="F322" s="81"/>
      <c r="G322" s="6"/>
      <c r="H322" s="60"/>
    </row>
    <row r="323" spans="6:8" ht="13.8">
      <c r="F323" s="81"/>
      <c r="G323" s="6"/>
      <c r="H323" s="60"/>
    </row>
    <row r="324" spans="6:8" ht="13.8">
      <c r="F324" s="81"/>
      <c r="G324" s="6"/>
      <c r="H324" s="60"/>
    </row>
    <row r="325" spans="6:8" ht="13.8">
      <c r="F325" s="81"/>
      <c r="G325" s="6"/>
      <c r="H325" s="60"/>
    </row>
    <row r="326" spans="6:8" ht="13.8">
      <c r="F326" s="81"/>
      <c r="G326" s="6"/>
      <c r="H326" s="60"/>
    </row>
    <row r="327" spans="6:8" ht="13.8">
      <c r="F327" s="81"/>
      <c r="G327" s="6"/>
      <c r="H327" s="60"/>
    </row>
    <row r="328" spans="6:8" ht="13.8">
      <c r="F328" s="81"/>
      <c r="G328" s="6"/>
      <c r="H328" s="60"/>
    </row>
    <row r="329" spans="6:8" ht="13.8">
      <c r="F329" s="81"/>
      <c r="G329" s="6"/>
      <c r="H329" s="60"/>
    </row>
    <row r="330" spans="6:8" ht="13.8">
      <c r="F330" s="81"/>
      <c r="G330" s="6"/>
      <c r="H330" s="60"/>
    </row>
    <row r="331" spans="6:8" ht="13.8">
      <c r="F331" s="81"/>
      <c r="G331" s="6"/>
      <c r="H331" s="60"/>
    </row>
    <row r="332" spans="6:8" ht="13.8">
      <c r="F332" s="81"/>
      <c r="G332" s="6"/>
      <c r="H332" s="60"/>
    </row>
    <row r="333" spans="6:8" ht="13.8">
      <c r="F333" s="81"/>
      <c r="G333" s="6"/>
      <c r="H333" s="60"/>
    </row>
    <row r="334" spans="6:8" ht="13.8">
      <c r="F334" s="81"/>
      <c r="G334" s="6"/>
      <c r="H334" s="60"/>
    </row>
    <row r="335" spans="6:8" ht="13.8">
      <c r="F335" s="81"/>
      <c r="G335" s="6"/>
      <c r="H335" s="60"/>
    </row>
    <row r="336" spans="6:8" ht="13.8">
      <c r="F336" s="81"/>
      <c r="G336" s="6"/>
      <c r="H336" s="60"/>
    </row>
    <row r="337" spans="6:8" ht="13.8">
      <c r="F337" s="81"/>
      <c r="G337" s="6"/>
      <c r="H337" s="60"/>
    </row>
    <row r="338" spans="6:8" ht="13.8">
      <c r="F338" s="81"/>
      <c r="G338" s="6"/>
      <c r="H338" s="60"/>
    </row>
    <row r="339" spans="6:8" ht="13.8">
      <c r="F339" s="81"/>
      <c r="G339" s="6"/>
      <c r="H339" s="60"/>
    </row>
    <row r="340" spans="6:8" ht="13.8">
      <c r="F340" s="81"/>
      <c r="G340" s="6"/>
      <c r="H340" s="60"/>
    </row>
    <row r="341" spans="6:8" ht="13.8">
      <c r="F341" s="81"/>
      <c r="G341" s="6"/>
      <c r="H341" s="60"/>
    </row>
    <row r="342" spans="6:8" ht="13.8">
      <c r="F342" s="81"/>
      <c r="G342" s="6"/>
      <c r="H342" s="60"/>
    </row>
    <row r="343" spans="6:8" ht="13.8">
      <c r="F343" s="81"/>
      <c r="G343" s="6"/>
      <c r="H343" s="60"/>
    </row>
    <row r="344" spans="6:8" ht="13.8">
      <c r="F344" s="81"/>
      <c r="G344" s="6"/>
      <c r="H344" s="60"/>
    </row>
    <row r="345" spans="6:8" ht="13.8">
      <c r="F345" s="81"/>
      <c r="G345" s="6"/>
      <c r="H345" s="60"/>
    </row>
    <row r="346" spans="6:8" ht="13.8">
      <c r="F346" s="81"/>
      <c r="G346" s="6"/>
      <c r="H346" s="60"/>
    </row>
    <row r="347" spans="6:8" ht="13.8">
      <c r="F347" s="81"/>
      <c r="G347" s="6"/>
      <c r="H347" s="60"/>
    </row>
    <row r="348" spans="6:8" ht="13.8">
      <c r="F348" s="81"/>
      <c r="G348" s="6"/>
      <c r="H348" s="60"/>
    </row>
    <row r="349" spans="6:8" ht="13.8">
      <c r="F349" s="81"/>
      <c r="G349" s="6"/>
      <c r="H349" s="60"/>
    </row>
    <row r="350" spans="6:8" ht="13.8">
      <c r="F350" s="81"/>
      <c r="G350" s="6"/>
      <c r="H350" s="60"/>
    </row>
    <row r="351" spans="6:8" ht="13.8">
      <c r="F351" s="81"/>
      <c r="G351" s="6"/>
      <c r="H351" s="60"/>
    </row>
    <row r="352" spans="6:8" ht="13.8">
      <c r="F352" s="81"/>
      <c r="G352" s="6"/>
      <c r="H352" s="60"/>
    </row>
    <row r="353" spans="6:8" ht="13.8">
      <c r="F353" s="81"/>
      <c r="G353" s="6"/>
      <c r="H353" s="60"/>
    </row>
    <row r="354" spans="6:8" ht="13.8">
      <c r="F354" s="81"/>
      <c r="G354" s="6"/>
      <c r="H354" s="60"/>
    </row>
    <row r="355" spans="6:8" ht="13.8">
      <c r="F355" s="81"/>
      <c r="G355" s="6"/>
      <c r="H355" s="60"/>
    </row>
    <row r="356" spans="6:8" ht="13.8">
      <c r="F356" s="81"/>
      <c r="G356" s="6"/>
      <c r="H356" s="60"/>
    </row>
    <row r="357" spans="6:8" ht="13.8">
      <c r="F357" s="81"/>
      <c r="G357" s="6"/>
      <c r="H357" s="60"/>
    </row>
    <row r="358" spans="6:8" ht="13.8">
      <c r="F358" s="81"/>
      <c r="G358" s="6"/>
      <c r="H358" s="60"/>
    </row>
    <row r="359" spans="6:8" ht="13.8">
      <c r="F359" s="81"/>
      <c r="G359" s="6"/>
      <c r="H359" s="60"/>
    </row>
    <row r="360" spans="6:8" ht="13.8">
      <c r="F360" s="81"/>
      <c r="G360" s="6"/>
      <c r="H360" s="60"/>
    </row>
    <row r="361" spans="6:8" ht="13.8">
      <c r="F361" s="81"/>
      <c r="G361" s="6"/>
      <c r="H361" s="60"/>
    </row>
    <row r="362" spans="6:8" ht="13.8">
      <c r="F362" s="81"/>
      <c r="G362" s="6"/>
      <c r="H362" s="60"/>
    </row>
    <row r="363" spans="6:8" ht="13.8">
      <c r="F363" s="81"/>
      <c r="G363" s="6"/>
      <c r="H363" s="60"/>
    </row>
    <row r="364" spans="6:8" ht="13.8">
      <c r="F364" s="81"/>
      <c r="G364" s="6"/>
      <c r="H364" s="60"/>
    </row>
    <row r="365" spans="6:8" ht="13.8">
      <c r="F365" s="81"/>
      <c r="G365" s="6"/>
      <c r="H365" s="60"/>
    </row>
    <row r="366" spans="6:8" ht="13.8">
      <c r="F366" s="81"/>
      <c r="G366" s="6"/>
      <c r="H366" s="60"/>
    </row>
    <row r="367" spans="6:8" ht="13.8">
      <c r="F367" s="81"/>
      <c r="G367" s="6"/>
      <c r="H367" s="60"/>
    </row>
    <row r="368" spans="6:8" ht="13.8">
      <c r="F368" s="81"/>
      <c r="G368" s="6"/>
      <c r="H368" s="60"/>
    </row>
    <row r="369" spans="6:8" ht="13.8">
      <c r="F369" s="81"/>
      <c r="G369" s="6"/>
      <c r="H369" s="60"/>
    </row>
    <row r="370" spans="6:8" ht="13.8">
      <c r="F370" s="81"/>
      <c r="G370" s="6"/>
      <c r="H370" s="60"/>
    </row>
    <row r="371" spans="6:8" ht="13.8">
      <c r="F371" s="81"/>
      <c r="G371" s="6"/>
      <c r="H371" s="60"/>
    </row>
    <row r="372" spans="6:8" ht="13.8">
      <c r="F372" s="81"/>
      <c r="G372" s="6"/>
      <c r="H372" s="60"/>
    </row>
    <row r="373" spans="6:8" ht="13.8">
      <c r="F373" s="81"/>
      <c r="G373" s="6"/>
      <c r="H373" s="60"/>
    </row>
    <row r="374" spans="6:8" ht="13.8">
      <c r="F374" s="81"/>
      <c r="G374" s="6"/>
      <c r="H374" s="60"/>
    </row>
    <row r="375" spans="6:8" ht="13.8">
      <c r="F375" s="81"/>
      <c r="G375" s="6"/>
      <c r="H375" s="60"/>
    </row>
    <row r="376" spans="6:8" ht="13.8">
      <c r="F376" s="81"/>
      <c r="G376" s="6"/>
      <c r="H376" s="60"/>
    </row>
    <row r="377" spans="6:8" ht="13.8">
      <c r="F377" s="81"/>
      <c r="G377" s="6"/>
      <c r="H377" s="60"/>
    </row>
    <row r="378" spans="6:8" ht="13.8">
      <c r="F378" s="81"/>
      <c r="G378" s="6"/>
      <c r="H378" s="60"/>
    </row>
    <row r="379" spans="6:8" ht="13.8">
      <c r="F379" s="81"/>
      <c r="G379" s="6"/>
      <c r="H379" s="60"/>
    </row>
    <row r="380" spans="6:8" ht="13.8">
      <c r="F380" s="81"/>
      <c r="G380" s="6"/>
      <c r="H380" s="60"/>
    </row>
    <row r="381" spans="6:8" ht="13.8">
      <c r="F381" s="81"/>
      <c r="G381" s="6"/>
      <c r="H381" s="60"/>
    </row>
    <row r="382" spans="6:8" ht="13.8">
      <c r="F382" s="81"/>
      <c r="G382" s="6"/>
      <c r="H382" s="60"/>
    </row>
    <row r="383" spans="6:8" ht="13.8">
      <c r="F383" s="81"/>
      <c r="G383" s="6"/>
      <c r="H383" s="60"/>
    </row>
    <row r="384" spans="6:8" ht="13.8">
      <c r="F384" s="81"/>
      <c r="G384" s="6"/>
      <c r="H384" s="60"/>
    </row>
    <row r="385" spans="6:8" ht="13.8">
      <c r="F385" s="81"/>
      <c r="G385" s="6"/>
      <c r="H385" s="60"/>
    </row>
    <row r="386" spans="6:8" ht="13.8">
      <c r="F386" s="81"/>
      <c r="G386" s="6"/>
      <c r="H386" s="60"/>
    </row>
    <row r="387" spans="6:8" ht="13.8">
      <c r="F387" s="81"/>
      <c r="G387" s="6"/>
      <c r="H387" s="60"/>
    </row>
    <row r="388" spans="6:8" ht="13.8">
      <c r="F388" s="81"/>
      <c r="G388" s="6"/>
      <c r="H388" s="60"/>
    </row>
    <row r="389" spans="6:8" ht="13.8">
      <c r="F389" s="81"/>
      <c r="G389" s="6"/>
      <c r="H389" s="60"/>
    </row>
    <row r="390" spans="6:8" ht="13.8">
      <c r="F390" s="81"/>
      <c r="G390" s="6"/>
      <c r="H390" s="60"/>
    </row>
    <row r="391" spans="6:8" ht="13.8">
      <c r="F391" s="81"/>
      <c r="G391" s="6"/>
      <c r="H391" s="60"/>
    </row>
    <row r="392" spans="6:8" ht="13.8">
      <c r="F392" s="81"/>
      <c r="G392" s="6"/>
      <c r="H392" s="60"/>
    </row>
    <row r="393" spans="6:8" ht="13.8">
      <c r="F393" s="81"/>
      <c r="G393" s="6"/>
      <c r="H393" s="60"/>
    </row>
    <row r="394" spans="6:8" ht="13.8">
      <c r="F394" s="81"/>
      <c r="G394" s="6"/>
      <c r="H394" s="60"/>
    </row>
    <row r="395" spans="6:8" ht="13.8">
      <c r="F395" s="81"/>
      <c r="G395" s="6"/>
      <c r="H395" s="60"/>
    </row>
    <row r="396" spans="6:8" ht="13.8">
      <c r="F396" s="81"/>
      <c r="G396" s="6"/>
      <c r="H396" s="60"/>
    </row>
    <row r="397" spans="6:8" ht="13.8">
      <c r="F397" s="81"/>
      <c r="G397" s="6"/>
      <c r="H397" s="60"/>
    </row>
    <row r="398" spans="6:8" ht="13.8">
      <c r="F398" s="81"/>
      <c r="G398" s="6"/>
      <c r="H398" s="60"/>
    </row>
    <row r="399" spans="6:8" ht="13.8">
      <c r="F399" s="81"/>
      <c r="G399" s="6"/>
      <c r="H399" s="60"/>
    </row>
    <row r="400" spans="6:8" ht="13.8">
      <c r="F400" s="81"/>
      <c r="G400" s="6"/>
      <c r="H400" s="60"/>
    </row>
    <row r="401" spans="6:8" ht="13.8">
      <c r="F401" s="81"/>
      <c r="G401" s="6"/>
      <c r="H401" s="60"/>
    </row>
    <row r="402" spans="6:8" ht="13.8">
      <c r="F402" s="81"/>
      <c r="G402" s="6"/>
      <c r="H402" s="60"/>
    </row>
    <row r="403" spans="6:8" ht="13.8">
      <c r="F403" s="81"/>
      <c r="G403" s="6"/>
      <c r="H403" s="60"/>
    </row>
    <row r="404" spans="6:8" ht="13.8">
      <c r="F404" s="81"/>
      <c r="G404" s="6"/>
      <c r="H404" s="60"/>
    </row>
    <row r="405" spans="6:8" ht="13.8">
      <c r="F405" s="81"/>
      <c r="G405" s="6"/>
      <c r="H405" s="60"/>
    </row>
    <row r="406" spans="6:8" ht="13.8">
      <c r="F406" s="81"/>
      <c r="G406" s="6"/>
      <c r="H406" s="60"/>
    </row>
    <row r="407" spans="6:8" ht="13.8">
      <c r="F407" s="81"/>
      <c r="G407" s="6"/>
      <c r="H407" s="60"/>
    </row>
    <row r="408" spans="6:8" ht="13.8">
      <c r="F408" s="81"/>
      <c r="G408" s="6"/>
      <c r="H408" s="60"/>
    </row>
    <row r="409" spans="6:8" ht="13.8">
      <c r="F409" s="81"/>
      <c r="G409" s="6"/>
      <c r="H409" s="60"/>
    </row>
    <row r="410" spans="6:8" ht="13.8">
      <c r="F410" s="81"/>
      <c r="G410" s="6"/>
      <c r="H410" s="60"/>
    </row>
    <row r="411" spans="6:8" ht="13.8">
      <c r="F411" s="81"/>
      <c r="G411" s="6"/>
      <c r="H411" s="60"/>
    </row>
    <row r="412" spans="6:8" ht="13.8">
      <c r="F412" s="81"/>
      <c r="G412" s="6"/>
      <c r="H412" s="60"/>
    </row>
    <row r="413" spans="6:8" ht="13.8">
      <c r="F413" s="81"/>
      <c r="G413" s="6"/>
      <c r="H413" s="60"/>
    </row>
    <row r="414" spans="6:8" ht="13.8">
      <c r="F414" s="81"/>
      <c r="G414" s="6"/>
      <c r="H414" s="60"/>
    </row>
    <row r="415" spans="6:8" ht="13.8">
      <c r="F415" s="81"/>
      <c r="G415" s="6"/>
      <c r="H415" s="60"/>
    </row>
    <row r="416" spans="6:8" ht="13.8">
      <c r="F416" s="81"/>
      <c r="G416" s="6"/>
      <c r="H416" s="60"/>
    </row>
    <row r="417" spans="6:8" ht="13.8">
      <c r="F417" s="81"/>
      <c r="G417" s="6"/>
      <c r="H417" s="60"/>
    </row>
    <row r="418" spans="6:8" ht="13.8">
      <c r="F418" s="81"/>
      <c r="G418" s="6"/>
      <c r="H418" s="60"/>
    </row>
    <row r="419" spans="6:8" ht="13.8">
      <c r="F419" s="81"/>
      <c r="G419" s="6"/>
      <c r="H419" s="60"/>
    </row>
    <row r="420" spans="6:8" ht="13.8">
      <c r="F420" s="81"/>
      <c r="G420" s="6"/>
      <c r="H420" s="60"/>
    </row>
    <row r="421" spans="6:8" ht="13.8">
      <c r="F421" s="81"/>
      <c r="G421" s="6"/>
      <c r="H421" s="60"/>
    </row>
    <row r="422" spans="6:8" ht="13.8">
      <c r="F422" s="81"/>
      <c r="G422" s="6"/>
      <c r="H422" s="60"/>
    </row>
    <row r="423" spans="6:8" ht="13.8">
      <c r="F423" s="81"/>
      <c r="G423" s="6"/>
      <c r="H423" s="60"/>
    </row>
    <row r="424" spans="6:8" ht="13.8">
      <c r="F424" s="81"/>
      <c r="G424" s="6"/>
      <c r="H424" s="60"/>
    </row>
    <row r="425" spans="6:8" ht="13.8">
      <c r="F425" s="81"/>
      <c r="G425" s="6"/>
      <c r="H425" s="60"/>
    </row>
    <row r="426" spans="6:8" ht="13.8">
      <c r="F426" s="81"/>
      <c r="G426" s="6"/>
      <c r="H426" s="60"/>
    </row>
    <row r="427" spans="6:8" ht="13.8">
      <c r="F427" s="81"/>
      <c r="G427" s="6"/>
      <c r="H427" s="60"/>
    </row>
    <row r="428" spans="6:8" ht="13.8">
      <c r="F428" s="81"/>
      <c r="G428" s="6"/>
      <c r="H428" s="60"/>
    </row>
    <row r="429" spans="6:8" ht="13.8">
      <c r="F429" s="81"/>
      <c r="G429" s="6"/>
      <c r="H429" s="60"/>
    </row>
    <row r="430" spans="6:8" ht="13.8">
      <c r="F430" s="81"/>
      <c r="G430" s="6"/>
      <c r="H430" s="60"/>
    </row>
    <row r="431" spans="6:8" ht="13.8">
      <c r="F431" s="81"/>
      <c r="G431" s="6"/>
      <c r="H431" s="60"/>
    </row>
    <row r="432" spans="6:8" ht="13.8">
      <c r="F432" s="81"/>
      <c r="G432" s="6"/>
      <c r="H432" s="60"/>
    </row>
    <row r="433" spans="6:8" ht="13.8">
      <c r="F433" s="81"/>
      <c r="G433" s="6"/>
      <c r="H433" s="60"/>
    </row>
    <row r="434" spans="6:8" ht="13.8">
      <c r="F434" s="81"/>
      <c r="G434" s="6"/>
      <c r="H434" s="60"/>
    </row>
    <row r="435" spans="6:8" ht="13.8">
      <c r="F435" s="81"/>
      <c r="G435" s="6"/>
      <c r="H435" s="60"/>
    </row>
    <row r="436" spans="6:8" ht="13.8">
      <c r="F436" s="81"/>
      <c r="G436" s="6"/>
      <c r="H436" s="60"/>
    </row>
    <row r="437" spans="6:8" ht="13.8">
      <c r="F437" s="81"/>
      <c r="G437" s="6"/>
      <c r="H437" s="60"/>
    </row>
    <row r="438" spans="6:8" ht="13.8">
      <c r="F438" s="81"/>
      <c r="G438" s="6"/>
      <c r="H438" s="60"/>
    </row>
    <row r="439" spans="6:8" ht="13.8">
      <c r="F439" s="81"/>
      <c r="G439" s="6"/>
      <c r="H439" s="60"/>
    </row>
    <row r="440" spans="6:8" ht="13.8">
      <c r="F440" s="81"/>
      <c r="G440" s="6"/>
      <c r="H440" s="60"/>
    </row>
    <row r="441" spans="6:8" ht="13.8">
      <c r="F441" s="81"/>
      <c r="G441" s="6"/>
      <c r="H441" s="60"/>
    </row>
    <row r="442" spans="6:8" ht="13.8">
      <c r="F442" s="81"/>
      <c r="G442" s="6"/>
      <c r="H442" s="60"/>
    </row>
    <row r="443" spans="6:8" ht="13.8">
      <c r="F443" s="81"/>
      <c r="G443" s="6"/>
      <c r="H443" s="60"/>
    </row>
    <row r="444" spans="6:8" ht="13.8">
      <c r="F444" s="81"/>
      <c r="G444" s="6"/>
      <c r="H444" s="60"/>
    </row>
    <row r="445" spans="6:8" ht="13.8">
      <c r="F445" s="81"/>
      <c r="G445" s="6"/>
      <c r="H445" s="60"/>
    </row>
    <row r="446" spans="6:8" ht="13.8">
      <c r="F446" s="81"/>
      <c r="G446" s="6"/>
      <c r="H446" s="60"/>
    </row>
    <row r="447" spans="6:8" ht="13.8">
      <c r="F447" s="81"/>
      <c r="G447" s="6"/>
      <c r="H447" s="60"/>
    </row>
    <row r="448" spans="6:8" ht="13.8">
      <c r="F448" s="81"/>
      <c r="G448" s="6"/>
      <c r="H448" s="60"/>
    </row>
    <row r="449" spans="6:8" ht="13.8">
      <c r="F449" s="81"/>
      <c r="G449" s="6"/>
      <c r="H449" s="60"/>
    </row>
    <row r="450" spans="6:8" ht="13.8">
      <c r="F450" s="81"/>
      <c r="G450" s="6"/>
      <c r="H450" s="60"/>
    </row>
    <row r="451" spans="6:8" ht="13.8">
      <c r="F451" s="81"/>
      <c r="G451" s="6"/>
      <c r="H451" s="60"/>
    </row>
    <row r="452" spans="6:8" ht="13.8">
      <c r="F452" s="81"/>
      <c r="G452" s="6"/>
      <c r="H452" s="60"/>
    </row>
    <row r="453" spans="6:8" ht="13.8">
      <c r="F453" s="81"/>
      <c r="G453" s="6"/>
      <c r="H453" s="60"/>
    </row>
    <row r="454" spans="6:8" ht="13.8">
      <c r="F454" s="81"/>
      <c r="G454" s="6"/>
      <c r="H454" s="60"/>
    </row>
    <row r="455" spans="6:8" ht="13.2"/>
    <row r="456" spans="6:8" ht="13.2"/>
    <row r="457" spans="6:8" ht="13.2"/>
    <row r="458" spans="6:8" ht="13.2"/>
    <row r="459" spans="6:8" ht="13.2"/>
    <row r="460" spans="6:8" ht="13.2"/>
    <row r="461" spans="6:8" ht="13.2"/>
    <row r="462" spans="6:8" ht="13.2"/>
    <row r="463" spans="6:8" ht="13.2"/>
    <row r="464" spans="6:8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</sheetData>
  <autoFilter ref="A5:G249" xr:uid="{00000000-0009-0000-0000-000002000000}"/>
  <mergeCells count="12">
    <mergeCell ref="B2:H5"/>
    <mergeCell ref="B7:D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9C3046A3-40D9-4BA6-802D-0DDE11144B3E}">
          <x14:formula1>
            <xm:f>Categorias!$A:$A</xm:f>
          </x14:formula1>
          <xm:sqref>D13:D254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Categorias</vt:lpstr>
      <vt:lpstr>FLUXO DE CAIXA  SIMPLIFICADO</vt:lpstr>
      <vt:lpstr>ANÁLISE</vt:lpstr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2020-04-29T12:20:00Z</dcterms:created>
  <dcterms:modified xsi:type="dcterms:W3CDTF">2026-07-09T20:47:35Z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1046-11.2.0.10223</vt:lpwstr>
  </property>
</Properties>
</file>