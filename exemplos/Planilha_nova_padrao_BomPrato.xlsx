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egorias" sheetId="1" r:id="rId1"/>
    <sheet name="FLUXO DE CAIXA  SIMPLIFICADO" sheetId="2" r:id="rId2"/>
    <sheet name="JANEIRO" sheetId="3" r:id="rId3"/>
    <sheet name="FEVEREIRO" sheetId="4" r:id="rId4"/>
    <sheet name="MARÇO" sheetId="5" r:id="rId5"/>
    <sheet name="ABRIL" sheetId="6" r:id="rId6"/>
    <sheet name="MAIO" sheetId="7" r:id="rId7"/>
    <sheet name="JUNHO" sheetId="8" r:id="rId8"/>
    <sheet name="JULHO" sheetId="9" r:id="rId9"/>
    <sheet name="AGOSTO" sheetId="10" r:id="rId10"/>
    <sheet name="SETEMBRO" sheetId="11" r:id="rId11"/>
    <sheet name="OUTUBRO" sheetId="12" r:id="rId12"/>
    <sheet name="NOVEMBRO" sheetId="13" r:id="rId13"/>
    <sheet name="DEZEMBRO" sheetId="14" r:id="rId14"/>
  </sheets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3">
    <font>
      <sz val="11"/>
      <name val="Calibri"/>
    </font>
    <font>
      <b/>
      <sz val="11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B38"/>
  <sheetData>
    <row r="1">
      <c r="A1" s="3" t="inlineStr">
        <is>
          <t>CATEGORIA</t>
        </is>
      </c>
      <c r="B1" s="3" t="inlineStr">
        <is>
          <t>FLUXO DE CAIXA</t>
        </is>
      </c>
    </row>
    <row r="2">
      <c r="A2" s="0" t="inlineStr">
        <is>
          <t xml:space="preserve">Recebimento de venda</t>
        </is>
      </c>
      <c r="B2" s="0" t="inlineStr">
        <is>
          <t xml:space="preserve">RECEITA</t>
        </is>
      </c>
    </row>
    <row r="3">
      <c r="A3" s="0" t="inlineStr">
        <is>
          <t xml:space="preserve">Aluguel</t>
        </is>
      </c>
      <c r="B3" s="0" t="inlineStr">
        <is>
          <t xml:space="preserve">DESPESAS FIXAS</t>
        </is>
      </c>
    </row>
    <row r="4">
      <c r="A4" s="0" t="inlineStr">
        <is>
          <t xml:space="preserve">Vale transporte</t>
        </is>
      </c>
      <c r="B4" s="0" t="inlineStr">
        <is>
          <t xml:space="preserve">DESPESAS FIXAS</t>
        </is>
      </c>
    </row>
    <row r="5">
      <c r="A5" s="0" t="inlineStr">
        <is>
          <t xml:space="preserve">Fornecedor</t>
        </is>
      </c>
      <c r="B5" s="0" t="inlineStr">
        <is>
          <t xml:space="preserve">GASTOS VARIÁVEIS</t>
        </is>
      </c>
    </row>
    <row r="6">
      <c r="A6" s="0" t="inlineStr">
        <is>
          <t xml:space="preserve">Salário</t>
        </is>
      </c>
      <c r="B6" s="0" t="inlineStr">
        <is>
          <t xml:space="preserve">DESPESAS FIXAS</t>
        </is>
      </c>
    </row>
    <row r="7">
      <c r="A7" s="0" t="inlineStr">
        <is>
          <t xml:space="preserve">Material escritório/limpeza</t>
        </is>
      </c>
      <c r="B7" s="0" t="inlineStr">
        <is>
          <t xml:space="preserve">DESPESAS FIXAS</t>
        </is>
      </c>
    </row>
    <row r="8">
      <c r="A8" s="0" t="inlineStr">
        <is>
          <t xml:space="preserve">Gás</t>
        </is>
      </c>
      <c r="B8" s="0" t="inlineStr">
        <is>
          <t xml:space="preserve">GASTOS VARIÁVEIS</t>
        </is>
      </c>
    </row>
    <row r="9">
      <c r="A9" s="0" t="inlineStr">
        <is>
          <t xml:space="preserve">Combustível</t>
        </is>
      </c>
      <c r="B9" s="0" t="inlineStr">
        <is>
          <t xml:space="preserve">DESPESAS FIXAS</t>
        </is>
      </c>
    </row>
    <row r="10">
      <c r="A10" s="0" t="inlineStr">
        <is>
          <t xml:space="preserve">Manutenção</t>
        </is>
      </c>
      <c r="B10" s="0" t="inlineStr">
        <is>
          <t xml:space="preserve">INVESTIMENTOS</t>
        </is>
      </c>
    </row>
    <row r="11">
      <c r="A11" s="0" t="inlineStr">
        <is>
          <t xml:space="preserve">Impressão</t>
        </is>
      </c>
      <c r="B11" s="0" t="inlineStr">
        <is>
          <t xml:space="preserve">DESPESAS FIXAS</t>
        </is>
      </c>
    </row>
    <row r="12">
      <c r="A12" s="0" t="inlineStr">
        <is>
          <t xml:space="preserve">Não Operacional</t>
        </is>
      </c>
      <c r="B12" s="0" t="inlineStr">
        <is>
          <t xml:space="preserve">NÃO OPERACIONAL</t>
        </is>
      </c>
    </row>
    <row r="13">
      <c r="A13" s="0" t="inlineStr">
        <is>
          <t xml:space="preserve">Motoboys</t>
        </is>
      </c>
      <c r="B13" s="0" t="inlineStr">
        <is>
          <t xml:space="preserve">GASTOS VARIÁVEIS</t>
        </is>
      </c>
    </row>
    <row r="14">
      <c r="A14" s="0" t="inlineStr">
        <is>
          <t xml:space="preserve">Investimento</t>
        </is>
      </c>
      <c r="B14" s="0" t="inlineStr">
        <is>
          <t xml:space="preserve">INVESTIMENTOS</t>
        </is>
      </c>
    </row>
    <row r="15">
      <c r="A15" s="0" t="inlineStr">
        <is>
          <t xml:space="preserve">Prolabore</t>
        </is>
      </c>
      <c r="B15" s="0" t="inlineStr">
        <is>
          <t xml:space="preserve">DESPESAS FIXAS</t>
        </is>
      </c>
    </row>
    <row r="16">
      <c r="A16" s="0" t="inlineStr">
        <is>
          <t xml:space="preserve">Retirada socios</t>
        </is>
      </c>
      <c r="B16" s="0" t="inlineStr">
        <is>
          <t xml:space="preserve">NÃO OPERACIONAL</t>
        </is>
      </c>
    </row>
    <row r="17">
      <c r="A17" s="0" t="inlineStr">
        <is>
          <t xml:space="preserve">Ajuda de custo - motoboy</t>
        </is>
      </c>
      <c r="B17" s="0" t="inlineStr">
        <is>
          <t xml:space="preserve">GASTOS VARIÁVEIS</t>
        </is>
      </c>
    </row>
    <row r="18">
      <c r="A18" s="0" t="inlineStr">
        <is>
          <t xml:space="preserve">Vale Alimentação</t>
        </is>
      </c>
      <c r="B18" s="0" t="inlineStr">
        <is>
          <t xml:space="preserve">DESPESAS FIXAS</t>
        </is>
      </c>
    </row>
    <row r="19">
      <c r="A19" s="0" t="inlineStr">
        <is>
          <t xml:space="preserve">Diárias - free lancer</t>
        </is>
      </c>
      <c r="B19" s="0" t="inlineStr">
        <is>
          <t xml:space="preserve">DESPESAS FIXAS</t>
        </is>
      </c>
    </row>
    <row r="20">
      <c r="A20" s="0" t="inlineStr">
        <is>
          <t xml:space="preserve">Farmácia</t>
        </is>
      </c>
      <c r="B20" s="0" t="inlineStr">
        <is>
          <t xml:space="preserve">DESPESAS FIXAS</t>
        </is>
      </c>
    </row>
    <row r="21">
      <c r="A21" s="0" t="inlineStr">
        <is>
          <t xml:space="preserve">DAS Simples Nacional</t>
        </is>
      </c>
      <c r="B21" s="0" t="inlineStr">
        <is>
          <t xml:space="preserve">GASTOS VARIÁVEIS</t>
        </is>
      </c>
    </row>
    <row r="22">
      <c r="A22" s="0" t="inlineStr">
        <is>
          <t xml:space="preserve">Embalagens</t>
        </is>
      </c>
      <c r="B22" s="0" t="inlineStr">
        <is>
          <t xml:space="preserve">GASTOS VARIÁVEIS</t>
        </is>
      </c>
    </row>
    <row r="23">
      <c r="A23" s="0" t="inlineStr">
        <is>
          <t xml:space="preserve">Móveis e Utensílios</t>
        </is>
      </c>
      <c r="B23" s="0" t="inlineStr">
        <is>
          <t xml:space="preserve">INVESTIMENTOS</t>
        </is>
      </c>
    </row>
    <row r="24">
      <c r="A24" s="0" t="inlineStr">
        <is>
          <t xml:space="preserve">Taxa de cartão</t>
        </is>
      </c>
      <c r="B24" s="0" t="inlineStr">
        <is>
          <t xml:space="preserve">GASTOS VARIÁVEIS</t>
        </is>
      </c>
    </row>
    <row r="25">
      <c r="A25" s="0" t="inlineStr">
        <is>
          <t xml:space="preserve">Taxa Ifood</t>
        </is>
      </c>
      <c r="B25" s="0" t="inlineStr">
        <is>
          <t xml:space="preserve">GASTOS VARIÁVEIS</t>
        </is>
      </c>
    </row>
    <row r="26">
      <c r="A26" s="0" t="inlineStr">
        <is>
          <t xml:space="preserve">DAS - MEI</t>
        </is>
      </c>
      <c r="B26" s="0" t="inlineStr">
        <is>
          <t xml:space="preserve">DESPESAS FIXAS</t>
        </is>
      </c>
    </row>
    <row r="27">
      <c r="A27" s="0" t="inlineStr">
        <is>
          <t xml:space="preserve">Energia Elétrica</t>
        </is>
      </c>
      <c r="B27" s="0" t="inlineStr">
        <is>
          <t xml:space="preserve">DESPESAS FIXAS</t>
        </is>
      </c>
    </row>
    <row r="28">
      <c r="A28" s="0" t="inlineStr">
        <is>
          <t xml:space="preserve">Internet e Telefone</t>
        </is>
      </c>
      <c r="B28" s="0" t="inlineStr">
        <is>
          <t xml:space="preserve">DESPESAS FIXAS</t>
        </is>
      </c>
    </row>
    <row r="29">
      <c r="A29" s="0" t="inlineStr">
        <is>
          <t xml:space="preserve">Contador</t>
        </is>
      </c>
      <c r="B29" s="0" t="inlineStr">
        <is>
          <t xml:space="preserve">DESPESAS FIXAS</t>
        </is>
      </c>
    </row>
    <row r="30">
      <c r="A30" s="0" t="inlineStr">
        <is>
          <t xml:space="preserve">Softwares</t>
        </is>
      </c>
      <c r="B30" s="0" t="inlineStr">
        <is>
          <t xml:space="preserve">DESPESAS FIXAS</t>
        </is>
      </c>
    </row>
    <row r="31">
      <c r="A31" s="0" t="inlineStr">
        <is>
          <t xml:space="preserve">Empréstimos</t>
        </is>
      </c>
      <c r="B31" s="0" t="inlineStr">
        <is>
          <t xml:space="preserve">NÃO OPERACIONAL</t>
        </is>
      </c>
    </row>
    <row r="32">
      <c r="A32" s="0" t="inlineStr">
        <is>
          <t xml:space="preserve">Aporte de capital</t>
        </is>
      </c>
      <c r="B32" s="0" t="inlineStr">
        <is>
          <t xml:space="preserve">NÃO OPERACIONAL</t>
        </is>
      </c>
    </row>
    <row r="33">
      <c r="A33" s="0" t="inlineStr">
        <is>
          <t xml:space="preserve">Água e esgoto</t>
        </is>
      </c>
      <c r="B33" s="0" t="inlineStr">
        <is>
          <t xml:space="preserve">DESPESAS FIXAS</t>
        </is>
      </c>
    </row>
    <row r="34">
      <c r="A34" s="0" t="inlineStr">
        <is>
          <t xml:space="preserve">Marketing</t>
        </is>
      </c>
      <c r="B34" s="0" t="inlineStr">
        <is>
          <t xml:space="preserve">INVESTIMENTOS</t>
        </is>
      </c>
    </row>
    <row r="35">
      <c r="A35" s="0" t="inlineStr">
        <is>
          <t xml:space="preserve">Troco e devolução</t>
        </is>
      </c>
      <c r="B35" s="0" t="inlineStr">
        <is>
          <t xml:space="preserve">NÃO OPERACIONAL</t>
        </is>
      </c>
    </row>
    <row r="36">
      <c r="A36" s="0" t="inlineStr">
        <is>
          <t xml:space="preserve">Comissões</t>
        </is>
      </c>
      <c r="B36" s="0" t="inlineStr">
        <is>
          <t xml:space="preserve">GASTOS VARIÁVEIS</t>
        </is>
      </c>
    </row>
    <row r="37">
      <c r="A37" s="0" t="inlineStr">
        <is>
          <t xml:space="preserve">FGTS</t>
        </is>
      </c>
      <c r="B37" s="0" t="inlineStr">
        <is>
          <t xml:space="preserve">DESPESAS FIXAS</t>
        </is>
      </c>
    </row>
    <row r="38">
      <c r="A38" s="0" t="inlineStr">
        <is>
          <t xml:space="preserve">INSS</t>
        </is>
      </c>
      <c r="B38" s="0" t="inlineStr">
        <is>
          <t xml:space="preserve">DESPESAS FIXAS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E17"/>
  <sheetData>
    <row r="2">
      <c r="B2" s="4" t="inlineStr">
        <is>
          <t xml:space="preserve">SOFIA MORAES MACEDO LEMOS</t>
        </is>
      </c>
    </row>
    <row r="4">
      <c r="B4" s="3" t="inlineStr">
        <is>
          <t xml:space="preserve">Mês</t>
        </is>
      </c>
      <c r="C4" s="3" t="inlineStr">
        <is>
          <t xml:space="preserve">Entradas</t>
        </is>
      </c>
      <c r="D4" s="3" t="inlineStr">
        <is>
          <t xml:space="preserve">Saídas</t>
        </is>
      </c>
      <c r="E4" s="3" t="inlineStr">
        <is>
          <t xml:space="preserve">Saldo</t>
        </is>
      </c>
    </row>
    <row r="5">
      <c r="B5" s="0" t="inlineStr">
        <is>
          <t xml:space="preserve">JANEIRO</t>
        </is>
      </c>
      <c r="C5" s="2">
        <f>SUM('JANEIRO'!F13:F462)</f>
      </c>
      <c r="D5" s="2">
        <f>SUM('JANEIRO'!G13:G462)</f>
      </c>
      <c r="E5" s="2">
        <f>C5-D5</f>
      </c>
    </row>
    <row r="6">
      <c r="B6" s="0" t="inlineStr">
        <is>
          <t xml:space="preserve">FEVEREIRO</t>
        </is>
      </c>
      <c r="C6" s="2">
        <f>SUM('FEVEREIRO'!F13:F462)</f>
      </c>
      <c r="D6" s="2">
        <f>SUM('FEVEREIRO'!G13:G462)</f>
      </c>
      <c r="E6" s="2">
        <f>C6-D6</f>
      </c>
    </row>
    <row r="7">
      <c r="B7" s="0" t="inlineStr">
        <is>
          <t xml:space="preserve">MARÇO</t>
        </is>
      </c>
      <c r="C7" s="2">
        <f>SUM('MARÇO'!F13:F462)</f>
      </c>
      <c r="D7" s="2">
        <f>SUM('MARÇO'!G13:G462)</f>
      </c>
      <c r="E7" s="2">
        <f>C7-D7</f>
      </c>
    </row>
    <row r="8">
      <c r="B8" s="0" t="inlineStr">
        <is>
          <t xml:space="preserve">ABRIL</t>
        </is>
      </c>
      <c r="C8" s="2">
        <f>SUM('ABRIL'!F13:F462)</f>
      </c>
      <c r="D8" s="2">
        <f>SUM('ABRIL'!G13:G462)</f>
      </c>
      <c r="E8" s="2">
        <f>C8-D8</f>
      </c>
    </row>
    <row r="9">
      <c r="B9" s="0" t="inlineStr">
        <is>
          <t xml:space="preserve">MAIO</t>
        </is>
      </c>
      <c r="C9" s="2">
        <f>SUM('MAIO'!F13:F462)</f>
      </c>
      <c r="D9" s="2">
        <f>SUM('MAIO'!G13:G462)</f>
      </c>
      <c r="E9" s="2">
        <f>C9-D9</f>
      </c>
    </row>
    <row r="10">
      <c r="B10" s="0" t="inlineStr">
        <is>
          <t xml:space="preserve">JUNHO</t>
        </is>
      </c>
      <c r="C10" s="2">
        <f>SUM('JUNHO'!F13:F462)</f>
      </c>
      <c r="D10" s="2">
        <f>SUM('JUNHO'!G13:G462)</f>
      </c>
      <c r="E10" s="2">
        <f>C10-D10</f>
      </c>
    </row>
    <row r="11">
      <c r="B11" s="0" t="inlineStr">
        <is>
          <t xml:space="preserve">JULHO</t>
        </is>
      </c>
      <c r="C11" s="2">
        <f>SUM('JULHO'!F13:F462)</f>
      </c>
      <c r="D11" s="2">
        <f>SUM('JULHO'!G13:G462)</f>
      </c>
      <c r="E11" s="2">
        <f>C11-D11</f>
      </c>
    </row>
    <row r="12">
      <c r="B12" s="0" t="inlineStr">
        <is>
          <t xml:space="preserve">AGOSTO</t>
        </is>
      </c>
      <c r="C12" s="2">
        <f>SUM('AGOSTO'!F13:F462)</f>
      </c>
      <c r="D12" s="2">
        <f>SUM('AGOSTO'!G13:G462)</f>
      </c>
      <c r="E12" s="2">
        <f>C12-D12</f>
      </c>
    </row>
    <row r="13">
      <c r="B13" s="0" t="inlineStr">
        <is>
          <t xml:space="preserve">SETEMBRO</t>
        </is>
      </c>
      <c r="C13" s="2">
        <f>SUM('SETEMBRO'!F13:F462)</f>
      </c>
      <c r="D13" s="2">
        <f>SUM('SETEMBRO'!G13:G462)</f>
      </c>
      <c r="E13" s="2">
        <f>C13-D13</f>
      </c>
    </row>
    <row r="14">
      <c r="B14" s="0" t="inlineStr">
        <is>
          <t xml:space="preserve">OUTUBRO</t>
        </is>
      </c>
      <c r="C14" s="2">
        <f>SUM('OUTUBRO'!F13:F462)</f>
      </c>
      <c r="D14" s="2">
        <f>SUM('OUTUBRO'!G13:G462)</f>
      </c>
      <c r="E14" s="2">
        <f>C14-D14</f>
      </c>
    </row>
    <row r="15">
      <c r="B15" s="0" t="inlineStr">
        <is>
          <t xml:space="preserve">NOVEMBRO</t>
        </is>
      </c>
      <c r="C15" s="2">
        <f>SUM('NOVEMBRO'!F13:F462)</f>
      </c>
      <c r="D15" s="2">
        <f>SUM('NOVEMBRO'!G13:G462)</f>
      </c>
      <c r="E15" s="2">
        <f>C15-D15</f>
      </c>
    </row>
    <row r="16">
      <c r="B16" s="0" t="inlineStr">
        <is>
          <t xml:space="preserve">DEZEMBRO</t>
        </is>
      </c>
      <c r="C16" s="2">
        <f>SUM('DEZEMBRO'!F13:F462)</f>
      </c>
      <c r="D16" s="2">
        <f>SUM('DEZEMBRO'!G13:G462)</f>
      </c>
      <c r="E16" s="2">
        <f>C16-D16</f>
      </c>
    </row>
    <row r="17">
      <c r="B17" s="3" t="inlineStr">
        <is>
          <t xml:space="preserve">TOTAL</t>
        </is>
      </c>
      <c r="C17" s="2">
        <f>SUM(C5:C16)</f>
      </c>
      <c r="D17" s="2">
        <f>SUM(D5:D16)</f>
      </c>
      <c r="E17" s="2">
        <f>C17-D17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HUGO ZANETTI ESTEVES BASTOS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CAMILA SIQUEIRA FERNANDES CARDOSO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LUCAS IBRAHIM SALGADO ALMEIDA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SOFIA BASTOS CALDEIRA AMARAL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CLARA ZANETTI BRAGA NOGUEIRA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VINICIUS HENRIQUES CALDEIRA PRADO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INES NEVES NOGUEIRA DUARTE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ALICE SALGADO NOGUEIRA ROCHA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EVERTON DUARTE ALMEIDA RAMOS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WANDA XAVIER JARDIM TAVARES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CAMILA LEMOS VALENTE DANTAS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>
  <dimension ref="A1:H462"/>
  <sheetData>
    <row r="2">
      <c r="B2" s="4" t="inlineStr">
        <is>
          <t xml:space="preserve">KARINA CALDEIRA DUARTE HENRIQUES</t>
        </is>
      </c>
    </row>
    <row r="7">
      <c r="B7" s="3" t="inlineStr">
        <is>
          <t xml:space="preserve">SALDO INICIAL:</t>
        </is>
      </c>
      <c r="G7" s="2">
        <f>0</f>
      </c>
    </row>
    <row r="12">
      <c r="B12" s="3" t="inlineStr">
        <is>
          <t xml:space="preserve">Data</t>
        </is>
      </c>
      <c r="C12" s="3" t="inlineStr">
        <is>
          <t xml:space="preserve">Descrição</t>
        </is>
      </c>
      <c r="D12" s="3" t="inlineStr">
        <is>
          <t xml:space="preserve">Categoria</t>
        </is>
      </c>
      <c r="E12" s="3" t="inlineStr">
        <is>
          <t xml:space="preserve">Fluxo de Caixa</t>
        </is>
      </c>
      <c r="F12" s="3" t="inlineStr">
        <is>
          <t xml:space="preserve">Entrada</t>
        </is>
      </c>
      <c r="G12" s="3" t="inlineStr">
        <is>
          <t xml:space="preserve">Saída</t>
        </is>
      </c>
      <c r="H12" s="3" t="inlineStr">
        <is>
          <t xml:space="preserve">Saldo</t>
        </is>
      </c>
    </row>
    <row r="13">
      <c r="B13" s="1"/>
      <c r="C13"/>
      <c r="D13"/>
      <c r="E13" s="0">
        <f>IF(ISERROR(VLOOKUP(D13,Categorias!A:B,2,0)),"",VLOOKUP(D13,Categorias!A:B,2,0))</f>
      </c>
      <c r="F13" s="2"/>
      <c r="G13" s="2"/>
      <c r="H13" s="2">
        <f>G7+F13-G13</f>
      </c>
    </row>
    <row r="14">
      <c r="B14" s="1"/>
      <c r="C14"/>
      <c r="D14"/>
      <c r="E14" s="0">
        <f>IF(ISERROR(VLOOKUP(D14,Categorias!A:B,2,0)),"",VLOOKUP(D14,Categorias!A:B,2,0))</f>
      </c>
      <c r="F14" s="2"/>
      <c r="G14" s="2"/>
      <c r="H14" s="2">
        <f>H13+F14-G14</f>
      </c>
    </row>
    <row r="15">
      <c r="B15" s="1"/>
      <c r="C15"/>
      <c r="D15"/>
      <c r="E15" s="0">
        <f>IF(ISERROR(VLOOKUP(D15,Categorias!A:B,2,0)),"",VLOOKUP(D15,Categorias!A:B,2,0))</f>
      </c>
      <c r="F15" s="2"/>
      <c r="G15" s="2"/>
      <c r="H15" s="2">
        <f>H14+F15-G15</f>
      </c>
    </row>
    <row r="16">
      <c r="B16" s="1"/>
      <c r="C16"/>
      <c r="D16"/>
      <c r="E16" s="0">
        <f>IF(ISERROR(VLOOKUP(D16,Categorias!A:B,2,0)),"",VLOOKUP(D16,Categorias!A:B,2,0))</f>
      </c>
      <c r="F16" s="2"/>
      <c r="G16" s="2"/>
      <c r="H16" s="2">
        <f>H15+F16-G16</f>
      </c>
    </row>
    <row r="17">
      <c r="B17" s="1"/>
      <c r="C17"/>
      <c r="D17"/>
      <c r="E17" s="0">
        <f>IF(ISERROR(VLOOKUP(D17,Categorias!A:B,2,0)),"",VLOOKUP(D17,Categorias!A:B,2,0))</f>
      </c>
      <c r="F17" s="2"/>
      <c r="G17" s="2"/>
      <c r="H17" s="2">
        <f>H16+F17-G17</f>
      </c>
    </row>
    <row r="18">
      <c r="B18" s="1"/>
      <c r="C18"/>
      <c r="D18"/>
      <c r="E18" s="0">
        <f>IF(ISERROR(VLOOKUP(D18,Categorias!A:B,2,0)),"",VLOOKUP(D18,Categorias!A:B,2,0))</f>
      </c>
      <c r="F18" s="2"/>
      <c r="G18" s="2"/>
      <c r="H18" s="2">
        <f>H17+F18-G18</f>
      </c>
    </row>
    <row r="19">
      <c r="B19" s="1"/>
      <c r="C19"/>
      <c r="D19"/>
      <c r="E19" s="0">
        <f>IF(ISERROR(VLOOKUP(D19,Categorias!A:B,2,0)),"",VLOOKUP(D19,Categorias!A:B,2,0))</f>
      </c>
      <c r="F19" s="2"/>
      <c r="G19" s="2"/>
      <c r="H19" s="2">
        <f>H18+F19-G19</f>
      </c>
    </row>
    <row r="20">
      <c r="B20" s="1"/>
      <c r="C20"/>
      <c r="D20"/>
      <c r="E20" s="0">
        <f>IF(ISERROR(VLOOKUP(D20,Categorias!A:B,2,0)),"",VLOOKUP(D20,Categorias!A:B,2,0))</f>
      </c>
      <c r="F20" s="2"/>
      <c r="G20" s="2"/>
      <c r="H20" s="2">
        <f>H19+F20-G20</f>
      </c>
    </row>
    <row r="21">
      <c r="B21" s="1"/>
      <c r="C21"/>
      <c r="D21"/>
      <c r="E21" s="0">
        <f>IF(ISERROR(VLOOKUP(D21,Categorias!A:B,2,0)),"",VLOOKUP(D21,Categorias!A:B,2,0))</f>
      </c>
      <c r="F21" s="2"/>
      <c r="G21" s="2"/>
      <c r="H21" s="2">
        <f>H20+F21-G21</f>
      </c>
    </row>
    <row r="22">
      <c r="B22" s="1"/>
      <c r="C22"/>
      <c r="D22"/>
      <c r="E22" s="0">
        <f>IF(ISERROR(VLOOKUP(D22,Categorias!A:B,2,0)),"",VLOOKUP(D22,Categorias!A:B,2,0))</f>
      </c>
      <c r="F22" s="2"/>
      <c r="G22" s="2"/>
      <c r="H22" s="2">
        <f>H21+F22-G22</f>
      </c>
    </row>
    <row r="23">
      <c r="B23" s="1"/>
      <c r="C23"/>
      <c r="D23"/>
      <c r="E23" s="0">
        <f>IF(ISERROR(VLOOKUP(D23,Categorias!A:B,2,0)),"",VLOOKUP(D23,Categorias!A:B,2,0))</f>
      </c>
      <c r="F23" s="2"/>
      <c r="G23" s="2"/>
      <c r="H23" s="2">
        <f>H22+F23-G23</f>
      </c>
    </row>
    <row r="24">
      <c r="B24" s="1"/>
      <c r="C24"/>
      <c r="D24"/>
      <c r="E24" s="0">
        <f>IF(ISERROR(VLOOKUP(D24,Categorias!A:B,2,0)),"",VLOOKUP(D24,Categorias!A:B,2,0))</f>
      </c>
      <c r="F24" s="2"/>
      <c r="G24" s="2"/>
      <c r="H24" s="2">
        <f>H23+F24-G24</f>
      </c>
    </row>
    <row r="25">
      <c r="B25" s="1"/>
      <c r="C25"/>
      <c r="D25"/>
      <c r="E25" s="0">
        <f>IF(ISERROR(VLOOKUP(D25,Categorias!A:B,2,0)),"",VLOOKUP(D25,Categorias!A:B,2,0))</f>
      </c>
      <c r="F25" s="2"/>
      <c r="G25" s="2"/>
      <c r="H25" s="2">
        <f>H24+F25-G25</f>
      </c>
    </row>
    <row r="26">
      <c r="B26" s="1"/>
      <c r="C26"/>
      <c r="D26"/>
      <c r="E26" s="0">
        <f>IF(ISERROR(VLOOKUP(D26,Categorias!A:B,2,0)),"",VLOOKUP(D26,Categorias!A:B,2,0))</f>
      </c>
      <c r="F26" s="2"/>
      <c r="G26" s="2"/>
      <c r="H26" s="2">
        <f>H25+F26-G26</f>
      </c>
    </row>
    <row r="27">
      <c r="B27" s="1"/>
      <c r="C27"/>
      <c r="D27"/>
      <c r="E27" s="0">
        <f>IF(ISERROR(VLOOKUP(D27,Categorias!A:B,2,0)),"",VLOOKUP(D27,Categorias!A:B,2,0))</f>
      </c>
      <c r="F27" s="2"/>
      <c r="G27" s="2"/>
      <c r="H27" s="2">
        <f>H26+F27-G27</f>
      </c>
    </row>
    <row r="28">
      <c r="B28" s="1"/>
      <c r="C28"/>
      <c r="D28"/>
      <c r="E28" s="0">
        <f>IF(ISERROR(VLOOKUP(D28,Categorias!A:B,2,0)),"",VLOOKUP(D28,Categorias!A:B,2,0))</f>
      </c>
      <c r="F28" s="2"/>
      <c r="G28" s="2"/>
      <c r="H28" s="2">
        <f>H27+F28-G28</f>
      </c>
    </row>
    <row r="29">
      <c r="B29" s="1"/>
      <c r="C29"/>
      <c r="D29"/>
      <c r="E29" s="0">
        <f>IF(ISERROR(VLOOKUP(D29,Categorias!A:B,2,0)),"",VLOOKUP(D29,Categorias!A:B,2,0))</f>
      </c>
      <c r="F29" s="2"/>
      <c r="G29" s="2"/>
      <c r="H29" s="2">
        <f>H28+F29-G29</f>
      </c>
    </row>
    <row r="30">
      <c r="B30" s="1"/>
      <c r="C30"/>
      <c r="D30"/>
      <c r="E30" s="0">
        <f>IF(ISERROR(VLOOKUP(D30,Categorias!A:B,2,0)),"",VLOOKUP(D30,Categorias!A:B,2,0))</f>
      </c>
      <c r="F30" s="2"/>
      <c r="G30" s="2"/>
      <c r="H30" s="2">
        <f>H29+F30-G30</f>
      </c>
    </row>
    <row r="31">
      <c r="B31" s="1"/>
      <c r="C31"/>
      <c r="D31"/>
      <c r="E31" s="0">
        <f>IF(ISERROR(VLOOKUP(D31,Categorias!A:B,2,0)),"",VLOOKUP(D31,Categorias!A:B,2,0))</f>
      </c>
      <c r="F31" s="2"/>
      <c r="G31" s="2"/>
      <c r="H31" s="2">
        <f>H30+F31-G31</f>
      </c>
    </row>
    <row r="32">
      <c r="B32" s="1"/>
      <c r="C32"/>
      <c r="D32"/>
      <c r="E32" s="0">
        <f>IF(ISERROR(VLOOKUP(D32,Categorias!A:B,2,0)),"",VLOOKUP(D32,Categorias!A:B,2,0))</f>
      </c>
      <c r="F32" s="2"/>
      <c r="G32" s="2"/>
      <c r="H32" s="2">
        <f>H31+F32-G32</f>
      </c>
    </row>
    <row r="33">
      <c r="B33" s="1"/>
      <c r="C33"/>
      <c r="D33"/>
      <c r="E33" s="0">
        <f>IF(ISERROR(VLOOKUP(D33,Categorias!A:B,2,0)),"",VLOOKUP(D33,Categorias!A:B,2,0))</f>
      </c>
      <c r="F33" s="2"/>
      <c r="G33" s="2"/>
      <c r="H33" s="2">
        <f>H32+F33-G33</f>
      </c>
    </row>
    <row r="34">
      <c r="B34" s="1"/>
      <c r="C34"/>
      <c r="D34"/>
      <c r="E34" s="0">
        <f>IF(ISERROR(VLOOKUP(D34,Categorias!A:B,2,0)),"",VLOOKUP(D34,Categorias!A:B,2,0))</f>
      </c>
      <c r="F34" s="2"/>
      <c r="G34" s="2"/>
      <c r="H34" s="2">
        <f>H33+F34-G34</f>
      </c>
    </row>
    <row r="35">
      <c r="B35" s="1"/>
      <c r="C35"/>
      <c r="D35"/>
      <c r="E35" s="0">
        <f>IF(ISERROR(VLOOKUP(D35,Categorias!A:B,2,0)),"",VLOOKUP(D35,Categorias!A:B,2,0))</f>
      </c>
      <c r="F35" s="2"/>
      <c r="G35" s="2"/>
      <c r="H35" s="2">
        <f>H34+F35-G35</f>
      </c>
    </row>
    <row r="36">
      <c r="B36" s="1"/>
      <c r="C36"/>
      <c r="D36"/>
      <c r="E36" s="0">
        <f>IF(ISERROR(VLOOKUP(D36,Categorias!A:B,2,0)),"",VLOOKUP(D36,Categorias!A:B,2,0))</f>
      </c>
      <c r="F36" s="2"/>
      <c r="G36" s="2"/>
      <c r="H36" s="2">
        <f>H35+F36-G36</f>
      </c>
    </row>
    <row r="37">
      <c r="B37" s="1"/>
      <c r="C37"/>
      <c r="D37"/>
      <c r="E37" s="0">
        <f>IF(ISERROR(VLOOKUP(D37,Categorias!A:B,2,0)),"",VLOOKUP(D37,Categorias!A:B,2,0))</f>
      </c>
      <c r="F37" s="2"/>
      <c r="G37" s="2"/>
      <c r="H37" s="2">
        <f>H36+F37-G37</f>
      </c>
    </row>
    <row r="38">
      <c r="B38" s="1"/>
      <c r="C38"/>
      <c r="D38"/>
      <c r="E38" s="0">
        <f>IF(ISERROR(VLOOKUP(D38,Categorias!A:B,2,0)),"",VLOOKUP(D38,Categorias!A:B,2,0))</f>
      </c>
      <c r="F38" s="2"/>
      <c r="G38" s="2"/>
      <c r="H38" s="2">
        <f>H37+F38-G38</f>
      </c>
    </row>
    <row r="39">
      <c r="B39" s="1"/>
      <c r="C39"/>
      <c r="D39"/>
      <c r="E39" s="0">
        <f>IF(ISERROR(VLOOKUP(D39,Categorias!A:B,2,0)),"",VLOOKUP(D39,Categorias!A:B,2,0))</f>
      </c>
      <c r="F39" s="2"/>
      <c r="G39" s="2"/>
      <c r="H39" s="2">
        <f>H38+F39-G39</f>
      </c>
    </row>
    <row r="40">
      <c r="B40" s="1"/>
      <c r="C40"/>
      <c r="D40"/>
      <c r="E40" s="0">
        <f>IF(ISERROR(VLOOKUP(D40,Categorias!A:B,2,0)),"",VLOOKUP(D40,Categorias!A:B,2,0))</f>
      </c>
      <c r="F40" s="2"/>
      <c r="G40" s="2"/>
      <c r="H40" s="2">
        <f>H39+F40-G40</f>
      </c>
    </row>
    <row r="41">
      <c r="B41" s="1"/>
      <c r="C41"/>
      <c r="D41"/>
      <c r="E41" s="0">
        <f>IF(ISERROR(VLOOKUP(D41,Categorias!A:B,2,0)),"",VLOOKUP(D41,Categorias!A:B,2,0))</f>
      </c>
      <c r="F41" s="2"/>
      <c r="G41" s="2"/>
      <c r="H41" s="2">
        <f>H40+F41-G41</f>
      </c>
    </row>
    <row r="42">
      <c r="B42" s="1"/>
      <c r="C42"/>
      <c r="D42"/>
      <c r="E42" s="0">
        <f>IF(ISERROR(VLOOKUP(D42,Categorias!A:B,2,0)),"",VLOOKUP(D42,Categorias!A:B,2,0))</f>
      </c>
      <c r="F42" s="2"/>
      <c r="G42" s="2"/>
      <c r="H42" s="2">
        <f>H41+F42-G42</f>
      </c>
    </row>
    <row r="43">
      <c r="B43" s="1"/>
      <c r="C43"/>
      <c r="D43"/>
      <c r="E43" s="0">
        <f>IF(ISERROR(VLOOKUP(D43,Categorias!A:B,2,0)),"",VLOOKUP(D43,Categorias!A:B,2,0))</f>
      </c>
      <c r="F43" s="2"/>
      <c r="G43" s="2"/>
      <c r="H43" s="2">
        <f>H42+F43-G43</f>
      </c>
    </row>
    <row r="44">
      <c r="B44" s="1"/>
      <c r="C44"/>
      <c r="D44"/>
      <c r="E44" s="0">
        <f>IF(ISERROR(VLOOKUP(D44,Categorias!A:B,2,0)),"",VLOOKUP(D44,Categorias!A:B,2,0))</f>
      </c>
      <c r="F44" s="2"/>
      <c r="G44" s="2"/>
      <c r="H44" s="2">
        <f>H43+F44-G44</f>
      </c>
    </row>
    <row r="45">
      <c r="B45" s="1"/>
      <c r="C45"/>
      <c r="D45"/>
      <c r="E45" s="0">
        <f>IF(ISERROR(VLOOKUP(D45,Categorias!A:B,2,0)),"",VLOOKUP(D45,Categorias!A:B,2,0))</f>
      </c>
      <c r="F45" s="2"/>
      <c r="G45" s="2"/>
      <c r="H45" s="2">
        <f>H44+F45-G45</f>
      </c>
    </row>
    <row r="46">
      <c r="B46" s="1"/>
      <c r="C46"/>
      <c r="D46"/>
      <c r="E46" s="0">
        <f>IF(ISERROR(VLOOKUP(D46,Categorias!A:B,2,0)),"",VLOOKUP(D46,Categorias!A:B,2,0))</f>
      </c>
      <c r="F46" s="2"/>
      <c r="G46" s="2"/>
      <c r="H46" s="2">
        <f>H45+F46-G46</f>
      </c>
    </row>
    <row r="47">
      <c r="B47" s="1"/>
      <c r="C47"/>
      <c r="D47"/>
      <c r="E47" s="0">
        <f>IF(ISERROR(VLOOKUP(D47,Categorias!A:B,2,0)),"",VLOOKUP(D47,Categorias!A:B,2,0))</f>
      </c>
      <c r="F47" s="2"/>
      <c r="G47" s="2"/>
      <c r="H47" s="2">
        <f>H46+F47-G47</f>
      </c>
    </row>
    <row r="48">
      <c r="B48" s="1"/>
      <c r="C48"/>
      <c r="D48"/>
      <c r="E48" s="0">
        <f>IF(ISERROR(VLOOKUP(D48,Categorias!A:B,2,0)),"",VLOOKUP(D48,Categorias!A:B,2,0))</f>
      </c>
      <c r="F48" s="2"/>
      <c r="G48" s="2"/>
      <c r="H48" s="2">
        <f>H47+F48-G48</f>
      </c>
    </row>
    <row r="49">
      <c r="B49" s="1"/>
      <c r="C49"/>
      <c r="D49"/>
      <c r="E49" s="0">
        <f>IF(ISERROR(VLOOKUP(D49,Categorias!A:B,2,0)),"",VLOOKUP(D49,Categorias!A:B,2,0))</f>
      </c>
      <c r="F49" s="2"/>
      <c r="G49" s="2"/>
      <c r="H49" s="2">
        <f>H48+F49-G49</f>
      </c>
    </row>
    <row r="50">
      <c r="B50" s="1"/>
      <c r="C50"/>
      <c r="D50"/>
      <c r="E50" s="0">
        <f>IF(ISERROR(VLOOKUP(D50,Categorias!A:B,2,0)),"",VLOOKUP(D50,Categorias!A:B,2,0))</f>
      </c>
      <c r="F50" s="2"/>
      <c r="G50" s="2"/>
      <c r="H50" s="2">
        <f>H49+F50-G50</f>
      </c>
    </row>
    <row r="51">
      <c r="B51" s="1"/>
      <c r="C51"/>
      <c r="D51"/>
      <c r="E51" s="0">
        <f>IF(ISERROR(VLOOKUP(D51,Categorias!A:B,2,0)),"",VLOOKUP(D51,Categorias!A:B,2,0))</f>
      </c>
      <c r="F51" s="2"/>
      <c r="G51" s="2"/>
      <c r="H51" s="2">
        <f>H50+F51-G51</f>
      </c>
    </row>
    <row r="52">
      <c r="B52" s="1"/>
      <c r="C52"/>
      <c r="D52"/>
      <c r="E52" s="0">
        <f>IF(ISERROR(VLOOKUP(D52,Categorias!A:B,2,0)),"",VLOOKUP(D52,Categorias!A:B,2,0))</f>
      </c>
      <c r="F52" s="2"/>
      <c r="G52" s="2"/>
      <c r="H52" s="2">
        <f>H51+F52-G52</f>
      </c>
    </row>
    <row r="53">
      <c r="B53" s="1"/>
      <c r="C53"/>
      <c r="D53"/>
      <c r="E53" s="0">
        <f>IF(ISERROR(VLOOKUP(D53,Categorias!A:B,2,0)),"",VLOOKUP(D53,Categorias!A:B,2,0))</f>
      </c>
      <c r="F53" s="2"/>
      <c r="G53" s="2"/>
      <c r="H53" s="2">
        <f>H52+F53-G53</f>
      </c>
    </row>
    <row r="54">
      <c r="B54" s="1"/>
      <c r="C54"/>
      <c r="D54"/>
      <c r="E54" s="0">
        <f>IF(ISERROR(VLOOKUP(D54,Categorias!A:B,2,0)),"",VLOOKUP(D54,Categorias!A:B,2,0))</f>
      </c>
      <c r="F54" s="2"/>
      <c r="G54" s="2"/>
      <c r="H54" s="2">
        <f>H53+F54-G54</f>
      </c>
    </row>
    <row r="55">
      <c r="B55" s="1"/>
      <c r="C55"/>
      <c r="D55"/>
      <c r="E55" s="0">
        <f>IF(ISERROR(VLOOKUP(D55,Categorias!A:B,2,0)),"",VLOOKUP(D55,Categorias!A:B,2,0))</f>
      </c>
      <c r="F55" s="2"/>
      <c r="G55" s="2"/>
      <c r="H55" s="2">
        <f>H54+F55-G55</f>
      </c>
    </row>
    <row r="56">
      <c r="B56" s="1"/>
      <c r="C56"/>
      <c r="D56"/>
      <c r="E56" s="0">
        <f>IF(ISERROR(VLOOKUP(D56,Categorias!A:B,2,0)),"",VLOOKUP(D56,Categorias!A:B,2,0))</f>
      </c>
      <c r="F56" s="2"/>
      <c r="G56" s="2"/>
      <c r="H56" s="2">
        <f>H55+F56-G56</f>
      </c>
    </row>
    <row r="57">
      <c r="B57" s="1"/>
      <c r="C57"/>
      <c r="D57"/>
      <c r="E57" s="0">
        <f>IF(ISERROR(VLOOKUP(D57,Categorias!A:B,2,0)),"",VLOOKUP(D57,Categorias!A:B,2,0))</f>
      </c>
      <c r="F57" s="2"/>
      <c r="G57" s="2"/>
      <c r="H57" s="2">
        <f>H56+F57-G57</f>
      </c>
    </row>
    <row r="58">
      <c r="B58" s="1"/>
      <c r="C58"/>
      <c r="D58"/>
      <c r="E58" s="0">
        <f>IF(ISERROR(VLOOKUP(D58,Categorias!A:B,2,0)),"",VLOOKUP(D58,Categorias!A:B,2,0))</f>
      </c>
      <c r="F58" s="2"/>
      <c r="G58" s="2"/>
      <c r="H58" s="2">
        <f>H57+F58-G58</f>
      </c>
    </row>
    <row r="59">
      <c r="B59" s="1"/>
      <c r="C59"/>
      <c r="D59"/>
      <c r="E59" s="0">
        <f>IF(ISERROR(VLOOKUP(D59,Categorias!A:B,2,0)),"",VLOOKUP(D59,Categorias!A:B,2,0))</f>
      </c>
      <c r="F59" s="2"/>
      <c r="G59" s="2"/>
      <c r="H59" s="2">
        <f>H58+F59-G59</f>
      </c>
    </row>
    <row r="60">
      <c r="B60" s="1"/>
      <c r="C60"/>
      <c r="D60"/>
      <c r="E60" s="0">
        <f>IF(ISERROR(VLOOKUP(D60,Categorias!A:B,2,0)),"",VLOOKUP(D60,Categorias!A:B,2,0))</f>
      </c>
      <c r="F60" s="2"/>
      <c r="G60" s="2"/>
      <c r="H60" s="2">
        <f>H59+F60-G60</f>
      </c>
    </row>
    <row r="61">
      <c r="B61" s="1"/>
      <c r="C61"/>
      <c r="D61"/>
      <c r="E61" s="0">
        <f>IF(ISERROR(VLOOKUP(D61,Categorias!A:B,2,0)),"",VLOOKUP(D61,Categorias!A:B,2,0))</f>
      </c>
      <c r="F61" s="2"/>
      <c r="G61" s="2"/>
      <c r="H61" s="2">
        <f>H60+F61-G61</f>
      </c>
    </row>
    <row r="62">
      <c r="B62" s="1"/>
      <c r="C62"/>
      <c r="D62"/>
      <c r="E62" s="0">
        <f>IF(ISERROR(VLOOKUP(D62,Categorias!A:B,2,0)),"",VLOOKUP(D62,Categorias!A:B,2,0))</f>
      </c>
      <c r="F62" s="2"/>
      <c r="G62" s="2"/>
      <c r="H62" s="2">
        <f>H61+F62-G62</f>
      </c>
    </row>
    <row r="63">
      <c r="B63" s="1"/>
      <c r="C63"/>
      <c r="D63"/>
      <c r="E63" s="0">
        <f>IF(ISERROR(VLOOKUP(D63,Categorias!A:B,2,0)),"",VLOOKUP(D63,Categorias!A:B,2,0))</f>
      </c>
      <c r="F63" s="2"/>
      <c r="G63" s="2"/>
      <c r="H63" s="2">
        <f>H62+F63-G63</f>
      </c>
    </row>
    <row r="64">
      <c r="B64" s="1"/>
      <c r="C64"/>
      <c r="D64"/>
      <c r="E64" s="0">
        <f>IF(ISERROR(VLOOKUP(D64,Categorias!A:B,2,0)),"",VLOOKUP(D64,Categorias!A:B,2,0))</f>
      </c>
      <c r="F64" s="2"/>
      <c r="G64" s="2"/>
      <c r="H64" s="2">
        <f>H63+F64-G64</f>
      </c>
    </row>
    <row r="65">
      <c r="B65" s="1"/>
      <c r="C65"/>
      <c r="D65"/>
      <c r="E65" s="0">
        <f>IF(ISERROR(VLOOKUP(D65,Categorias!A:B,2,0)),"",VLOOKUP(D65,Categorias!A:B,2,0))</f>
      </c>
      <c r="F65" s="2"/>
      <c r="G65" s="2"/>
      <c r="H65" s="2">
        <f>H64+F65-G65</f>
      </c>
    </row>
    <row r="66">
      <c r="B66" s="1"/>
      <c r="C66"/>
      <c r="D66"/>
      <c r="E66" s="0">
        <f>IF(ISERROR(VLOOKUP(D66,Categorias!A:B,2,0)),"",VLOOKUP(D66,Categorias!A:B,2,0))</f>
      </c>
      <c r="F66" s="2"/>
      <c r="G66" s="2"/>
      <c r="H66" s="2">
        <f>H65+F66-G66</f>
      </c>
    </row>
    <row r="67">
      <c r="B67" s="1"/>
      <c r="C67"/>
      <c r="D67"/>
      <c r="E67" s="0">
        <f>IF(ISERROR(VLOOKUP(D67,Categorias!A:B,2,0)),"",VLOOKUP(D67,Categorias!A:B,2,0))</f>
      </c>
      <c r="F67" s="2"/>
      <c r="G67" s="2"/>
      <c r="H67" s="2">
        <f>H66+F67-G67</f>
      </c>
    </row>
    <row r="68">
      <c r="B68" s="1"/>
      <c r="C68"/>
      <c r="D68"/>
      <c r="E68" s="0">
        <f>IF(ISERROR(VLOOKUP(D68,Categorias!A:B,2,0)),"",VLOOKUP(D68,Categorias!A:B,2,0))</f>
      </c>
      <c r="F68" s="2"/>
      <c r="G68" s="2"/>
      <c r="H68" s="2">
        <f>H67+F68-G68</f>
      </c>
    </row>
    <row r="69">
      <c r="B69" s="1"/>
      <c r="C69"/>
      <c r="D69"/>
      <c r="E69" s="0">
        <f>IF(ISERROR(VLOOKUP(D69,Categorias!A:B,2,0)),"",VLOOKUP(D69,Categorias!A:B,2,0))</f>
      </c>
      <c r="F69" s="2"/>
      <c r="G69" s="2"/>
      <c r="H69" s="2">
        <f>H68+F69-G69</f>
      </c>
    </row>
    <row r="70">
      <c r="B70" s="1"/>
      <c r="C70"/>
      <c r="D70"/>
      <c r="E70" s="0">
        <f>IF(ISERROR(VLOOKUP(D70,Categorias!A:B,2,0)),"",VLOOKUP(D70,Categorias!A:B,2,0))</f>
      </c>
      <c r="F70" s="2"/>
      <c r="G70" s="2"/>
      <c r="H70" s="2">
        <f>H69+F70-G70</f>
      </c>
    </row>
    <row r="71">
      <c r="B71" s="1"/>
      <c r="C71"/>
      <c r="D71"/>
      <c r="E71" s="0">
        <f>IF(ISERROR(VLOOKUP(D71,Categorias!A:B,2,0)),"",VLOOKUP(D71,Categorias!A:B,2,0))</f>
      </c>
      <c r="F71" s="2"/>
      <c r="G71" s="2"/>
      <c r="H71" s="2">
        <f>H70+F71-G71</f>
      </c>
    </row>
    <row r="72">
      <c r="B72" s="1"/>
      <c r="C72"/>
      <c r="D72"/>
      <c r="E72" s="0">
        <f>IF(ISERROR(VLOOKUP(D72,Categorias!A:B,2,0)),"",VLOOKUP(D72,Categorias!A:B,2,0))</f>
      </c>
      <c r="F72" s="2"/>
      <c r="G72" s="2"/>
      <c r="H72" s="2">
        <f>H71+F72-G72</f>
      </c>
    </row>
    <row r="73">
      <c r="B73" s="1"/>
      <c r="C73"/>
      <c r="D73"/>
      <c r="E73" s="0">
        <f>IF(ISERROR(VLOOKUP(D73,Categorias!A:B,2,0)),"",VLOOKUP(D73,Categorias!A:B,2,0))</f>
      </c>
      <c r="F73" s="2"/>
      <c r="G73" s="2"/>
      <c r="H73" s="2">
        <f>H72+F73-G73</f>
      </c>
    </row>
    <row r="74">
      <c r="B74" s="1"/>
      <c r="C74"/>
      <c r="D74"/>
      <c r="E74" s="0">
        <f>IF(ISERROR(VLOOKUP(D74,Categorias!A:B,2,0)),"",VLOOKUP(D74,Categorias!A:B,2,0))</f>
      </c>
      <c r="F74" s="2"/>
      <c r="G74" s="2"/>
      <c r="H74" s="2">
        <f>H73+F74-G74</f>
      </c>
    </row>
    <row r="75">
      <c r="B75" s="1"/>
      <c r="C75"/>
      <c r="D75"/>
      <c r="E75" s="0">
        <f>IF(ISERROR(VLOOKUP(D75,Categorias!A:B,2,0)),"",VLOOKUP(D75,Categorias!A:B,2,0))</f>
      </c>
      <c r="F75" s="2"/>
      <c r="G75" s="2"/>
      <c r="H75" s="2">
        <f>H74+F75-G75</f>
      </c>
    </row>
    <row r="76">
      <c r="B76" s="1"/>
      <c r="C76"/>
      <c r="D76"/>
      <c r="E76" s="0">
        <f>IF(ISERROR(VLOOKUP(D76,Categorias!A:B,2,0)),"",VLOOKUP(D76,Categorias!A:B,2,0))</f>
      </c>
      <c r="F76" s="2"/>
      <c r="G76" s="2"/>
      <c r="H76" s="2">
        <f>H75+F76-G76</f>
      </c>
    </row>
    <row r="77">
      <c r="B77" s="1"/>
      <c r="C77"/>
      <c r="D77"/>
      <c r="E77" s="0">
        <f>IF(ISERROR(VLOOKUP(D77,Categorias!A:B,2,0)),"",VLOOKUP(D77,Categorias!A:B,2,0))</f>
      </c>
      <c r="F77" s="2"/>
      <c r="G77" s="2"/>
      <c r="H77" s="2">
        <f>H76+F77-G77</f>
      </c>
    </row>
    <row r="78">
      <c r="B78" s="1"/>
      <c r="C78"/>
      <c r="D78"/>
      <c r="E78" s="0">
        <f>IF(ISERROR(VLOOKUP(D78,Categorias!A:B,2,0)),"",VLOOKUP(D78,Categorias!A:B,2,0))</f>
      </c>
      <c r="F78" s="2"/>
      <c r="G78" s="2"/>
      <c r="H78" s="2">
        <f>H77+F78-G78</f>
      </c>
    </row>
    <row r="79">
      <c r="B79" s="1"/>
      <c r="C79"/>
      <c r="D79"/>
      <c r="E79" s="0">
        <f>IF(ISERROR(VLOOKUP(D79,Categorias!A:B,2,0)),"",VLOOKUP(D79,Categorias!A:B,2,0))</f>
      </c>
      <c r="F79" s="2"/>
      <c r="G79" s="2"/>
      <c r="H79" s="2">
        <f>H78+F79-G79</f>
      </c>
    </row>
    <row r="80">
      <c r="B80" s="1"/>
      <c r="C80"/>
      <c r="D80"/>
      <c r="E80" s="0">
        <f>IF(ISERROR(VLOOKUP(D80,Categorias!A:B,2,0)),"",VLOOKUP(D80,Categorias!A:B,2,0))</f>
      </c>
      <c r="F80" s="2"/>
      <c r="G80" s="2"/>
      <c r="H80" s="2">
        <f>H79+F80-G80</f>
      </c>
    </row>
    <row r="81">
      <c r="B81" s="1"/>
      <c r="C81"/>
      <c r="D81"/>
      <c r="E81" s="0">
        <f>IF(ISERROR(VLOOKUP(D81,Categorias!A:B,2,0)),"",VLOOKUP(D81,Categorias!A:B,2,0))</f>
      </c>
      <c r="F81" s="2"/>
      <c r="G81" s="2"/>
      <c r="H81" s="2">
        <f>H80+F81-G81</f>
      </c>
    </row>
    <row r="82">
      <c r="B82" s="1"/>
      <c r="C82"/>
      <c r="D82"/>
      <c r="E82" s="0">
        <f>IF(ISERROR(VLOOKUP(D82,Categorias!A:B,2,0)),"",VLOOKUP(D82,Categorias!A:B,2,0))</f>
      </c>
      <c r="F82" s="2"/>
      <c r="G82" s="2"/>
      <c r="H82" s="2">
        <f>H81+F82-G82</f>
      </c>
    </row>
    <row r="83">
      <c r="B83" s="1"/>
      <c r="C83"/>
      <c r="D83"/>
      <c r="E83" s="0">
        <f>IF(ISERROR(VLOOKUP(D83,Categorias!A:B,2,0)),"",VLOOKUP(D83,Categorias!A:B,2,0))</f>
      </c>
      <c r="F83" s="2"/>
      <c r="G83" s="2"/>
      <c r="H83" s="2">
        <f>H82+F83-G83</f>
      </c>
    </row>
    <row r="84">
      <c r="B84" s="1"/>
      <c r="C84"/>
      <c r="D84"/>
      <c r="E84" s="0">
        <f>IF(ISERROR(VLOOKUP(D84,Categorias!A:B,2,0)),"",VLOOKUP(D84,Categorias!A:B,2,0))</f>
      </c>
      <c r="F84" s="2"/>
      <c r="G84" s="2"/>
      <c r="H84" s="2">
        <f>H83+F84-G84</f>
      </c>
    </row>
    <row r="85">
      <c r="B85" s="1"/>
      <c r="C85"/>
      <c r="D85"/>
      <c r="E85" s="0">
        <f>IF(ISERROR(VLOOKUP(D85,Categorias!A:B,2,0)),"",VLOOKUP(D85,Categorias!A:B,2,0))</f>
      </c>
      <c r="F85" s="2"/>
      <c r="G85" s="2"/>
      <c r="H85" s="2">
        <f>H84+F85-G85</f>
      </c>
    </row>
    <row r="86">
      <c r="B86" s="1"/>
      <c r="C86"/>
      <c r="D86"/>
      <c r="E86" s="0">
        <f>IF(ISERROR(VLOOKUP(D86,Categorias!A:B,2,0)),"",VLOOKUP(D86,Categorias!A:B,2,0))</f>
      </c>
      <c r="F86" s="2"/>
      <c r="G86" s="2"/>
      <c r="H86" s="2">
        <f>H85+F86-G86</f>
      </c>
    </row>
    <row r="87">
      <c r="B87" s="1"/>
      <c r="C87"/>
      <c r="D87"/>
      <c r="E87" s="0">
        <f>IF(ISERROR(VLOOKUP(D87,Categorias!A:B,2,0)),"",VLOOKUP(D87,Categorias!A:B,2,0))</f>
      </c>
      <c r="F87" s="2"/>
      <c r="G87" s="2"/>
      <c r="H87" s="2">
        <f>H86+F87-G87</f>
      </c>
    </row>
    <row r="88">
      <c r="B88" s="1"/>
      <c r="C88"/>
      <c r="D88"/>
      <c r="E88" s="0">
        <f>IF(ISERROR(VLOOKUP(D88,Categorias!A:B,2,0)),"",VLOOKUP(D88,Categorias!A:B,2,0))</f>
      </c>
      <c r="F88" s="2"/>
      <c r="G88" s="2"/>
      <c r="H88" s="2">
        <f>H87+F88-G88</f>
      </c>
    </row>
    <row r="89">
      <c r="B89" s="1"/>
      <c r="C89"/>
      <c r="D89"/>
      <c r="E89" s="0">
        <f>IF(ISERROR(VLOOKUP(D89,Categorias!A:B,2,0)),"",VLOOKUP(D89,Categorias!A:B,2,0))</f>
      </c>
      <c r="F89" s="2"/>
      <c r="G89" s="2"/>
      <c r="H89" s="2">
        <f>H88+F89-G89</f>
      </c>
    </row>
    <row r="90">
      <c r="B90" s="1"/>
      <c r="C90"/>
      <c r="D90"/>
      <c r="E90" s="0">
        <f>IF(ISERROR(VLOOKUP(D90,Categorias!A:B,2,0)),"",VLOOKUP(D90,Categorias!A:B,2,0))</f>
      </c>
      <c r="F90" s="2"/>
      <c r="G90" s="2"/>
      <c r="H90" s="2">
        <f>H89+F90-G90</f>
      </c>
    </row>
    <row r="91">
      <c r="B91" s="1"/>
      <c r="C91"/>
      <c r="D91"/>
      <c r="E91" s="0">
        <f>IF(ISERROR(VLOOKUP(D91,Categorias!A:B,2,0)),"",VLOOKUP(D91,Categorias!A:B,2,0))</f>
      </c>
      <c r="F91" s="2"/>
      <c r="G91" s="2"/>
      <c r="H91" s="2">
        <f>H90+F91-G91</f>
      </c>
    </row>
    <row r="92">
      <c r="B92" s="1"/>
      <c r="C92"/>
      <c r="D92"/>
      <c r="E92" s="0">
        <f>IF(ISERROR(VLOOKUP(D92,Categorias!A:B,2,0)),"",VLOOKUP(D92,Categorias!A:B,2,0))</f>
      </c>
      <c r="F92" s="2"/>
      <c r="G92" s="2"/>
      <c r="H92" s="2">
        <f>H91+F92-G92</f>
      </c>
    </row>
    <row r="93">
      <c r="B93" s="1"/>
      <c r="C93"/>
      <c r="D93"/>
      <c r="E93" s="0">
        <f>IF(ISERROR(VLOOKUP(D93,Categorias!A:B,2,0)),"",VLOOKUP(D93,Categorias!A:B,2,0))</f>
      </c>
      <c r="F93" s="2"/>
      <c r="G93" s="2"/>
      <c r="H93" s="2">
        <f>H92+F93-G93</f>
      </c>
    </row>
    <row r="94">
      <c r="B94" s="1"/>
      <c r="C94"/>
      <c r="D94"/>
      <c r="E94" s="0">
        <f>IF(ISERROR(VLOOKUP(D94,Categorias!A:B,2,0)),"",VLOOKUP(D94,Categorias!A:B,2,0))</f>
      </c>
      <c r="F94" s="2"/>
      <c r="G94" s="2"/>
      <c r="H94" s="2">
        <f>H93+F94-G94</f>
      </c>
    </row>
    <row r="95">
      <c r="B95" s="1"/>
      <c r="C95"/>
      <c r="D95"/>
      <c r="E95" s="0">
        <f>IF(ISERROR(VLOOKUP(D95,Categorias!A:B,2,0)),"",VLOOKUP(D95,Categorias!A:B,2,0))</f>
      </c>
      <c r="F95" s="2"/>
      <c r="G95" s="2"/>
      <c r="H95" s="2">
        <f>H94+F95-G95</f>
      </c>
    </row>
    <row r="96">
      <c r="B96" s="1"/>
      <c r="C96"/>
      <c r="D96"/>
      <c r="E96" s="0">
        <f>IF(ISERROR(VLOOKUP(D96,Categorias!A:B,2,0)),"",VLOOKUP(D96,Categorias!A:B,2,0))</f>
      </c>
      <c r="F96" s="2"/>
      <c r="G96" s="2"/>
      <c r="H96" s="2">
        <f>H95+F96-G96</f>
      </c>
    </row>
    <row r="97">
      <c r="B97" s="1"/>
      <c r="C97"/>
      <c r="D97"/>
      <c r="E97" s="0">
        <f>IF(ISERROR(VLOOKUP(D97,Categorias!A:B,2,0)),"",VLOOKUP(D97,Categorias!A:B,2,0))</f>
      </c>
      <c r="F97" s="2"/>
      <c r="G97" s="2"/>
      <c r="H97" s="2">
        <f>H96+F97-G97</f>
      </c>
    </row>
    <row r="98">
      <c r="B98" s="1"/>
      <c r="C98"/>
      <c r="D98"/>
      <c r="E98" s="0">
        <f>IF(ISERROR(VLOOKUP(D98,Categorias!A:B,2,0)),"",VLOOKUP(D98,Categorias!A:B,2,0))</f>
      </c>
      <c r="F98" s="2"/>
      <c r="G98" s="2"/>
      <c r="H98" s="2">
        <f>H97+F98-G98</f>
      </c>
    </row>
    <row r="99">
      <c r="B99" s="1"/>
      <c r="C99"/>
      <c r="D99"/>
      <c r="E99" s="0">
        <f>IF(ISERROR(VLOOKUP(D99,Categorias!A:B,2,0)),"",VLOOKUP(D99,Categorias!A:B,2,0))</f>
      </c>
      <c r="F99" s="2"/>
      <c r="G99" s="2"/>
      <c r="H99" s="2">
        <f>H98+F99-G99</f>
      </c>
    </row>
    <row r="100">
      <c r="B100" s="1"/>
      <c r="C100"/>
      <c r="D100"/>
      <c r="E100" s="0">
        <f>IF(ISERROR(VLOOKUP(D100,Categorias!A:B,2,0)),"",VLOOKUP(D100,Categorias!A:B,2,0))</f>
      </c>
      <c r="F100" s="2"/>
      <c r="G100" s="2"/>
      <c r="H100" s="2">
        <f>H99+F100-G100</f>
      </c>
    </row>
    <row r="101">
      <c r="B101" s="1"/>
      <c r="C101"/>
      <c r="D101"/>
      <c r="E101" s="0">
        <f>IF(ISERROR(VLOOKUP(D101,Categorias!A:B,2,0)),"",VLOOKUP(D101,Categorias!A:B,2,0))</f>
      </c>
      <c r="F101" s="2"/>
      <c r="G101" s="2"/>
      <c r="H101" s="2">
        <f>H100+F101-G101</f>
      </c>
    </row>
    <row r="102">
      <c r="B102" s="1"/>
      <c r="C102"/>
      <c r="D102"/>
      <c r="E102" s="0">
        <f>IF(ISERROR(VLOOKUP(D102,Categorias!A:B,2,0)),"",VLOOKUP(D102,Categorias!A:B,2,0))</f>
      </c>
      <c r="F102" s="2"/>
      <c r="G102" s="2"/>
      <c r="H102" s="2">
        <f>H101+F102-G102</f>
      </c>
    </row>
    <row r="103">
      <c r="B103" s="1"/>
      <c r="C103"/>
      <c r="D103"/>
      <c r="E103" s="0">
        <f>IF(ISERROR(VLOOKUP(D103,Categorias!A:B,2,0)),"",VLOOKUP(D103,Categorias!A:B,2,0))</f>
      </c>
      <c r="F103" s="2"/>
      <c r="G103" s="2"/>
      <c r="H103" s="2">
        <f>H102+F103-G103</f>
      </c>
    </row>
    <row r="104">
      <c r="B104" s="1"/>
      <c r="C104"/>
      <c r="D104"/>
      <c r="E104" s="0">
        <f>IF(ISERROR(VLOOKUP(D104,Categorias!A:B,2,0)),"",VLOOKUP(D104,Categorias!A:B,2,0))</f>
      </c>
      <c r="F104" s="2"/>
      <c r="G104" s="2"/>
      <c r="H104" s="2">
        <f>H103+F104-G104</f>
      </c>
    </row>
    <row r="105">
      <c r="B105" s="1"/>
      <c r="C105"/>
      <c r="D105"/>
      <c r="E105" s="0">
        <f>IF(ISERROR(VLOOKUP(D105,Categorias!A:B,2,0)),"",VLOOKUP(D105,Categorias!A:B,2,0))</f>
      </c>
      <c r="F105" s="2"/>
      <c r="G105" s="2"/>
      <c r="H105" s="2">
        <f>H104+F105-G105</f>
      </c>
    </row>
    <row r="106">
      <c r="B106" s="1"/>
      <c r="C106"/>
      <c r="D106"/>
      <c r="E106" s="0">
        <f>IF(ISERROR(VLOOKUP(D106,Categorias!A:B,2,0)),"",VLOOKUP(D106,Categorias!A:B,2,0))</f>
      </c>
      <c r="F106" s="2"/>
      <c r="G106" s="2"/>
      <c r="H106" s="2">
        <f>H105+F106-G106</f>
      </c>
    </row>
    <row r="107">
      <c r="B107" s="1"/>
      <c r="C107"/>
      <c r="D107"/>
      <c r="E107" s="0">
        <f>IF(ISERROR(VLOOKUP(D107,Categorias!A:B,2,0)),"",VLOOKUP(D107,Categorias!A:B,2,0))</f>
      </c>
      <c r="F107" s="2"/>
      <c r="G107" s="2"/>
      <c r="H107" s="2">
        <f>H106+F107-G107</f>
      </c>
    </row>
    <row r="108">
      <c r="B108" s="1"/>
      <c r="C108"/>
      <c r="D108"/>
      <c r="E108" s="0">
        <f>IF(ISERROR(VLOOKUP(D108,Categorias!A:B,2,0)),"",VLOOKUP(D108,Categorias!A:B,2,0))</f>
      </c>
      <c r="F108" s="2"/>
      <c r="G108" s="2"/>
      <c r="H108" s="2">
        <f>H107+F108-G108</f>
      </c>
    </row>
    <row r="109">
      <c r="B109" s="1"/>
      <c r="C109"/>
      <c r="D109"/>
      <c r="E109" s="0">
        <f>IF(ISERROR(VLOOKUP(D109,Categorias!A:B,2,0)),"",VLOOKUP(D109,Categorias!A:B,2,0))</f>
      </c>
      <c r="F109" s="2"/>
      <c r="G109" s="2"/>
      <c r="H109" s="2">
        <f>H108+F109-G109</f>
      </c>
    </row>
    <row r="110">
      <c r="B110" s="1"/>
      <c r="C110"/>
      <c r="D110"/>
      <c r="E110" s="0">
        <f>IF(ISERROR(VLOOKUP(D110,Categorias!A:B,2,0)),"",VLOOKUP(D110,Categorias!A:B,2,0))</f>
      </c>
      <c r="F110" s="2"/>
      <c r="G110" s="2"/>
      <c r="H110" s="2">
        <f>H109+F110-G110</f>
      </c>
    </row>
    <row r="111">
      <c r="B111" s="1"/>
      <c r="C111"/>
      <c r="D111"/>
      <c r="E111" s="0">
        <f>IF(ISERROR(VLOOKUP(D111,Categorias!A:B,2,0)),"",VLOOKUP(D111,Categorias!A:B,2,0))</f>
      </c>
      <c r="F111" s="2"/>
      <c r="G111" s="2"/>
      <c r="H111" s="2">
        <f>H110+F111-G111</f>
      </c>
    </row>
    <row r="112">
      <c r="B112" s="1"/>
      <c r="C112"/>
      <c r="D112"/>
      <c r="E112" s="0">
        <f>IF(ISERROR(VLOOKUP(D112,Categorias!A:B,2,0)),"",VLOOKUP(D112,Categorias!A:B,2,0))</f>
      </c>
      <c r="F112" s="2"/>
      <c r="G112" s="2"/>
      <c r="H112" s="2">
        <f>H111+F112-G112</f>
      </c>
    </row>
    <row r="113">
      <c r="B113" s="1"/>
      <c r="C113"/>
      <c r="D113"/>
      <c r="E113" s="0">
        <f>IF(ISERROR(VLOOKUP(D113,Categorias!A:B,2,0)),"",VLOOKUP(D113,Categorias!A:B,2,0))</f>
      </c>
      <c r="F113" s="2"/>
      <c r="G113" s="2"/>
      <c r="H113" s="2">
        <f>H112+F113-G113</f>
      </c>
    </row>
    <row r="114">
      <c r="B114" s="1"/>
      <c r="C114"/>
      <c r="D114"/>
      <c r="E114" s="0">
        <f>IF(ISERROR(VLOOKUP(D114,Categorias!A:B,2,0)),"",VLOOKUP(D114,Categorias!A:B,2,0))</f>
      </c>
      <c r="F114" s="2"/>
      <c r="G114" s="2"/>
      <c r="H114" s="2">
        <f>H113+F114-G114</f>
      </c>
    </row>
    <row r="115">
      <c r="B115" s="1"/>
      <c r="C115"/>
      <c r="D115"/>
      <c r="E115" s="0">
        <f>IF(ISERROR(VLOOKUP(D115,Categorias!A:B,2,0)),"",VLOOKUP(D115,Categorias!A:B,2,0))</f>
      </c>
      <c r="F115" s="2"/>
      <c r="G115" s="2"/>
      <c r="H115" s="2">
        <f>H114+F115-G115</f>
      </c>
    </row>
    <row r="116">
      <c r="B116" s="1"/>
      <c r="C116"/>
      <c r="D116"/>
      <c r="E116" s="0">
        <f>IF(ISERROR(VLOOKUP(D116,Categorias!A:B,2,0)),"",VLOOKUP(D116,Categorias!A:B,2,0))</f>
      </c>
      <c r="F116" s="2"/>
      <c r="G116" s="2"/>
      <c r="H116" s="2">
        <f>H115+F116-G116</f>
      </c>
    </row>
    <row r="117">
      <c r="B117" s="1"/>
      <c r="C117"/>
      <c r="D117"/>
      <c r="E117" s="0">
        <f>IF(ISERROR(VLOOKUP(D117,Categorias!A:B,2,0)),"",VLOOKUP(D117,Categorias!A:B,2,0))</f>
      </c>
      <c r="F117" s="2"/>
      <c r="G117" s="2"/>
      <c r="H117" s="2">
        <f>H116+F117-G117</f>
      </c>
    </row>
    <row r="118">
      <c r="B118" s="1"/>
      <c r="C118"/>
      <c r="D118"/>
      <c r="E118" s="0">
        <f>IF(ISERROR(VLOOKUP(D118,Categorias!A:B,2,0)),"",VLOOKUP(D118,Categorias!A:B,2,0))</f>
      </c>
      <c r="F118" s="2"/>
      <c r="G118" s="2"/>
      <c r="H118" s="2">
        <f>H117+F118-G118</f>
      </c>
    </row>
    <row r="119">
      <c r="B119" s="1"/>
      <c r="C119"/>
      <c r="D119"/>
      <c r="E119" s="0">
        <f>IF(ISERROR(VLOOKUP(D119,Categorias!A:B,2,0)),"",VLOOKUP(D119,Categorias!A:B,2,0))</f>
      </c>
      <c r="F119" s="2"/>
      <c r="G119" s="2"/>
      <c r="H119" s="2">
        <f>H118+F119-G119</f>
      </c>
    </row>
    <row r="120">
      <c r="B120" s="1"/>
      <c r="C120"/>
      <c r="D120"/>
      <c r="E120" s="0">
        <f>IF(ISERROR(VLOOKUP(D120,Categorias!A:B,2,0)),"",VLOOKUP(D120,Categorias!A:B,2,0))</f>
      </c>
      <c r="F120" s="2"/>
      <c r="G120" s="2"/>
      <c r="H120" s="2">
        <f>H119+F120-G120</f>
      </c>
    </row>
    <row r="121">
      <c r="B121" s="1"/>
      <c r="C121"/>
      <c r="D121"/>
      <c r="E121" s="0">
        <f>IF(ISERROR(VLOOKUP(D121,Categorias!A:B,2,0)),"",VLOOKUP(D121,Categorias!A:B,2,0))</f>
      </c>
      <c r="F121" s="2"/>
      <c r="G121" s="2"/>
      <c r="H121" s="2">
        <f>H120+F121-G121</f>
      </c>
    </row>
    <row r="122">
      <c r="B122" s="1"/>
      <c r="C122"/>
      <c r="D122"/>
      <c r="E122" s="0">
        <f>IF(ISERROR(VLOOKUP(D122,Categorias!A:B,2,0)),"",VLOOKUP(D122,Categorias!A:B,2,0))</f>
      </c>
      <c r="F122" s="2"/>
      <c r="G122" s="2"/>
      <c r="H122" s="2">
        <f>H121+F122-G122</f>
      </c>
    </row>
    <row r="123">
      <c r="B123" s="1"/>
      <c r="C123"/>
      <c r="D123"/>
      <c r="E123" s="0">
        <f>IF(ISERROR(VLOOKUP(D123,Categorias!A:B,2,0)),"",VLOOKUP(D123,Categorias!A:B,2,0))</f>
      </c>
      <c r="F123" s="2"/>
      <c r="G123" s="2"/>
      <c r="H123" s="2">
        <f>H122+F123-G123</f>
      </c>
    </row>
    <row r="124">
      <c r="B124" s="1"/>
      <c r="C124"/>
      <c r="D124"/>
      <c r="E124" s="0">
        <f>IF(ISERROR(VLOOKUP(D124,Categorias!A:B,2,0)),"",VLOOKUP(D124,Categorias!A:B,2,0))</f>
      </c>
      <c r="F124" s="2"/>
      <c r="G124" s="2"/>
      <c r="H124" s="2">
        <f>H123+F124-G124</f>
      </c>
    </row>
    <row r="125">
      <c r="B125" s="1"/>
      <c r="C125"/>
      <c r="D125"/>
      <c r="E125" s="0">
        <f>IF(ISERROR(VLOOKUP(D125,Categorias!A:B,2,0)),"",VLOOKUP(D125,Categorias!A:B,2,0))</f>
      </c>
      <c r="F125" s="2"/>
      <c r="G125" s="2"/>
      <c r="H125" s="2">
        <f>H124+F125-G125</f>
      </c>
    </row>
    <row r="126">
      <c r="B126" s="1"/>
      <c r="C126"/>
      <c r="D126"/>
      <c r="E126" s="0">
        <f>IF(ISERROR(VLOOKUP(D126,Categorias!A:B,2,0)),"",VLOOKUP(D126,Categorias!A:B,2,0))</f>
      </c>
      <c r="F126" s="2"/>
      <c r="G126" s="2"/>
      <c r="H126" s="2">
        <f>H125+F126-G126</f>
      </c>
    </row>
    <row r="127">
      <c r="B127" s="1"/>
      <c r="C127"/>
      <c r="D127"/>
      <c r="E127" s="0">
        <f>IF(ISERROR(VLOOKUP(D127,Categorias!A:B,2,0)),"",VLOOKUP(D127,Categorias!A:B,2,0))</f>
      </c>
      <c r="F127" s="2"/>
      <c r="G127" s="2"/>
      <c r="H127" s="2">
        <f>H126+F127-G127</f>
      </c>
    </row>
    <row r="128">
      <c r="B128" s="1"/>
      <c r="C128"/>
      <c r="D128"/>
      <c r="E128" s="0">
        <f>IF(ISERROR(VLOOKUP(D128,Categorias!A:B,2,0)),"",VLOOKUP(D128,Categorias!A:B,2,0))</f>
      </c>
      <c r="F128" s="2"/>
      <c r="G128" s="2"/>
      <c r="H128" s="2">
        <f>H127+F128-G128</f>
      </c>
    </row>
    <row r="129">
      <c r="B129" s="1"/>
      <c r="C129"/>
      <c r="D129"/>
      <c r="E129" s="0">
        <f>IF(ISERROR(VLOOKUP(D129,Categorias!A:B,2,0)),"",VLOOKUP(D129,Categorias!A:B,2,0))</f>
      </c>
      <c r="F129" s="2"/>
      <c r="G129" s="2"/>
      <c r="H129" s="2">
        <f>H128+F129-G129</f>
      </c>
    </row>
    <row r="130">
      <c r="B130" s="1"/>
      <c r="C130"/>
      <c r="D130"/>
      <c r="E130" s="0">
        <f>IF(ISERROR(VLOOKUP(D130,Categorias!A:B,2,0)),"",VLOOKUP(D130,Categorias!A:B,2,0))</f>
      </c>
      <c r="F130" s="2"/>
      <c r="G130" s="2"/>
      <c r="H130" s="2">
        <f>H129+F130-G130</f>
      </c>
    </row>
    <row r="131">
      <c r="B131" s="1"/>
      <c r="C131"/>
      <c r="D131"/>
      <c r="E131" s="0">
        <f>IF(ISERROR(VLOOKUP(D131,Categorias!A:B,2,0)),"",VLOOKUP(D131,Categorias!A:B,2,0))</f>
      </c>
      <c r="F131" s="2"/>
      <c r="G131" s="2"/>
      <c r="H131" s="2">
        <f>H130+F131-G131</f>
      </c>
    </row>
    <row r="132">
      <c r="B132" s="1"/>
      <c r="C132"/>
      <c r="D132"/>
      <c r="E132" s="0">
        <f>IF(ISERROR(VLOOKUP(D132,Categorias!A:B,2,0)),"",VLOOKUP(D132,Categorias!A:B,2,0))</f>
      </c>
      <c r="F132" s="2"/>
      <c r="G132" s="2"/>
      <c r="H132" s="2">
        <f>H131+F132-G132</f>
      </c>
    </row>
    <row r="133">
      <c r="B133" s="1"/>
      <c r="C133"/>
      <c r="D133"/>
      <c r="E133" s="0">
        <f>IF(ISERROR(VLOOKUP(D133,Categorias!A:B,2,0)),"",VLOOKUP(D133,Categorias!A:B,2,0))</f>
      </c>
      <c r="F133" s="2"/>
      <c r="G133" s="2"/>
      <c r="H133" s="2">
        <f>H132+F133-G133</f>
      </c>
    </row>
    <row r="134">
      <c r="B134" s="1"/>
      <c r="C134"/>
      <c r="D134"/>
      <c r="E134" s="0">
        <f>IF(ISERROR(VLOOKUP(D134,Categorias!A:B,2,0)),"",VLOOKUP(D134,Categorias!A:B,2,0))</f>
      </c>
      <c r="F134" s="2"/>
      <c r="G134" s="2"/>
      <c r="H134" s="2">
        <f>H133+F134-G134</f>
      </c>
    </row>
    <row r="135">
      <c r="B135" s="1"/>
      <c r="C135"/>
      <c r="D135"/>
      <c r="E135" s="0">
        <f>IF(ISERROR(VLOOKUP(D135,Categorias!A:B,2,0)),"",VLOOKUP(D135,Categorias!A:B,2,0))</f>
      </c>
      <c r="F135" s="2"/>
      <c r="G135" s="2"/>
      <c r="H135" s="2">
        <f>H134+F135-G135</f>
      </c>
    </row>
    <row r="136">
      <c r="B136" s="1"/>
      <c r="C136"/>
      <c r="D136"/>
      <c r="E136" s="0">
        <f>IF(ISERROR(VLOOKUP(D136,Categorias!A:B,2,0)),"",VLOOKUP(D136,Categorias!A:B,2,0))</f>
      </c>
      <c r="F136" s="2"/>
      <c r="G136" s="2"/>
      <c r="H136" s="2">
        <f>H135+F136-G136</f>
      </c>
    </row>
    <row r="137">
      <c r="B137" s="1"/>
      <c r="C137"/>
      <c r="D137"/>
      <c r="E137" s="0">
        <f>IF(ISERROR(VLOOKUP(D137,Categorias!A:B,2,0)),"",VLOOKUP(D137,Categorias!A:B,2,0))</f>
      </c>
      <c r="F137" s="2"/>
      <c r="G137" s="2"/>
      <c r="H137" s="2">
        <f>H136+F137-G137</f>
      </c>
    </row>
    <row r="138">
      <c r="B138" s="1"/>
      <c r="C138"/>
      <c r="D138"/>
      <c r="E138" s="0">
        <f>IF(ISERROR(VLOOKUP(D138,Categorias!A:B,2,0)),"",VLOOKUP(D138,Categorias!A:B,2,0))</f>
      </c>
      <c r="F138" s="2"/>
      <c r="G138" s="2"/>
      <c r="H138" s="2">
        <f>H137+F138-G138</f>
      </c>
    </row>
    <row r="139">
      <c r="B139" s="1"/>
      <c r="C139"/>
      <c r="D139"/>
      <c r="E139" s="0">
        <f>IF(ISERROR(VLOOKUP(D139,Categorias!A:B,2,0)),"",VLOOKUP(D139,Categorias!A:B,2,0))</f>
      </c>
      <c r="F139" s="2"/>
      <c r="G139" s="2"/>
      <c r="H139" s="2">
        <f>H138+F139-G139</f>
      </c>
    </row>
    <row r="140">
      <c r="B140" s="1"/>
      <c r="C140"/>
      <c r="D140"/>
      <c r="E140" s="0">
        <f>IF(ISERROR(VLOOKUP(D140,Categorias!A:B,2,0)),"",VLOOKUP(D140,Categorias!A:B,2,0))</f>
      </c>
      <c r="F140" s="2"/>
      <c r="G140" s="2"/>
      <c r="H140" s="2">
        <f>H139+F140-G140</f>
      </c>
    </row>
    <row r="141">
      <c r="B141" s="1"/>
      <c r="C141"/>
      <c r="D141"/>
      <c r="E141" s="0">
        <f>IF(ISERROR(VLOOKUP(D141,Categorias!A:B,2,0)),"",VLOOKUP(D141,Categorias!A:B,2,0))</f>
      </c>
      <c r="F141" s="2"/>
      <c r="G141" s="2"/>
      <c r="H141" s="2">
        <f>H140+F141-G141</f>
      </c>
    </row>
    <row r="142">
      <c r="B142" s="1"/>
      <c r="C142"/>
      <c r="D142"/>
      <c r="E142" s="0">
        <f>IF(ISERROR(VLOOKUP(D142,Categorias!A:B,2,0)),"",VLOOKUP(D142,Categorias!A:B,2,0))</f>
      </c>
      <c r="F142" s="2"/>
      <c r="G142" s="2"/>
      <c r="H142" s="2">
        <f>H141+F142-G142</f>
      </c>
    </row>
    <row r="143">
      <c r="B143" s="1"/>
      <c r="C143"/>
      <c r="D143"/>
      <c r="E143" s="0">
        <f>IF(ISERROR(VLOOKUP(D143,Categorias!A:B,2,0)),"",VLOOKUP(D143,Categorias!A:B,2,0))</f>
      </c>
      <c r="F143" s="2"/>
      <c r="G143" s="2"/>
      <c r="H143" s="2">
        <f>H142+F143-G143</f>
      </c>
    </row>
    <row r="144">
      <c r="B144" s="1"/>
      <c r="C144"/>
      <c r="D144"/>
      <c r="E144" s="0">
        <f>IF(ISERROR(VLOOKUP(D144,Categorias!A:B,2,0)),"",VLOOKUP(D144,Categorias!A:B,2,0))</f>
      </c>
      <c r="F144" s="2"/>
      <c r="G144" s="2"/>
      <c r="H144" s="2">
        <f>H143+F144-G144</f>
      </c>
    </row>
    <row r="145">
      <c r="B145" s="1"/>
      <c r="C145"/>
      <c r="D145"/>
      <c r="E145" s="0">
        <f>IF(ISERROR(VLOOKUP(D145,Categorias!A:B,2,0)),"",VLOOKUP(D145,Categorias!A:B,2,0))</f>
      </c>
      <c r="F145" s="2"/>
      <c r="G145" s="2"/>
      <c r="H145" s="2">
        <f>H144+F145-G145</f>
      </c>
    </row>
    <row r="146">
      <c r="B146" s="1"/>
      <c r="C146"/>
      <c r="D146"/>
      <c r="E146" s="0">
        <f>IF(ISERROR(VLOOKUP(D146,Categorias!A:B,2,0)),"",VLOOKUP(D146,Categorias!A:B,2,0))</f>
      </c>
      <c r="F146" s="2"/>
      <c r="G146" s="2"/>
      <c r="H146" s="2">
        <f>H145+F146-G146</f>
      </c>
    </row>
    <row r="147">
      <c r="B147" s="1"/>
      <c r="C147"/>
      <c r="D147"/>
      <c r="E147" s="0">
        <f>IF(ISERROR(VLOOKUP(D147,Categorias!A:B,2,0)),"",VLOOKUP(D147,Categorias!A:B,2,0))</f>
      </c>
      <c r="F147" s="2"/>
      <c r="G147" s="2"/>
      <c r="H147" s="2">
        <f>H146+F147-G147</f>
      </c>
    </row>
    <row r="148">
      <c r="B148" s="1"/>
      <c r="C148"/>
      <c r="D148"/>
      <c r="E148" s="0">
        <f>IF(ISERROR(VLOOKUP(D148,Categorias!A:B,2,0)),"",VLOOKUP(D148,Categorias!A:B,2,0))</f>
      </c>
      <c r="F148" s="2"/>
      <c r="G148" s="2"/>
      <c r="H148" s="2">
        <f>H147+F148-G148</f>
      </c>
    </row>
    <row r="149">
      <c r="B149" s="1"/>
      <c r="C149"/>
      <c r="D149"/>
      <c r="E149" s="0">
        <f>IF(ISERROR(VLOOKUP(D149,Categorias!A:B,2,0)),"",VLOOKUP(D149,Categorias!A:B,2,0))</f>
      </c>
      <c r="F149" s="2"/>
      <c r="G149" s="2"/>
      <c r="H149" s="2">
        <f>H148+F149-G149</f>
      </c>
    </row>
    <row r="150">
      <c r="B150" s="1"/>
      <c r="C150"/>
      <c r="D150"/>
      <c r="E150" s="0">
        <f>IF(ISERROR(VLOOKUP(D150,Categorias!A:B,2,0)),"",VLOOKUP(D150,Categorias!A:B,2,0))</f>
      </c>
      <c r="F150" s="2"/>
      <c r="G150" s="2"/>
      <c r="H150" s="2">
        <f>H149+F150-G150</f>
      </c>
    </row>
    <row r="151">
      <c r="B151" s="1"/>
      <c r="C151"/>
      <c r="D151"/>
      <c r="E151" s="0">
        <f>IF(ISERROR(VLOOKUP(D151,Categorias!A:B,2,0)),"",VLOOKUP(D151,Categorias!A:B,2,0))</f>
      </c>
      <c r="F151" s="2"/>
      <c r="G151" s="2"/>
      <c r="H151" s="2">
        <f>H150+F151-G151</f>
      </c>
    </row>
    <row r="152">
      <c r="B152" s="1"/>
      <c r="C152"/>
      <c r="D152"/>
      <c r="E152" s="0">
        <f>IF(ISERROR(VLOOKUP(D152,Categorias!A:B,2,0)),"",VLOOKUP(D152,Categorias!A:B,2,0))</f>
      </c>
      <c r="F152" s="2"/>
      <c r="G152" s="2"/>
      <c r="H152" s="2">
        <f>H151+F152-G152</f>
      </c>
    </row>
    <row r="153">
      <c r="B153" s="1"/>
      <c r="C153"/>
      <c r="D153"/>
      <c r="E153" s="0">
        <f>IF(ISERROR(VLOOKUP(D153,Categorias!A:B,2,0)),"",VLOOKUP(D153,Categorias!A:B,2,0))</f>
      </c>
      <c r="F153" s="2"/>
      <c r="G153" s="2"/>
      <c r="H153" s="2">
        <f>H152+F153-G153</f>
      </c>
    </row>
    <row r="154">
      <c r="B154" s="1"/>
      <c r="C154"/>
      <c r="D154"/>
      <c r="E154" s="0">
        <f>IF(ISERROR(VLOOKUP(D154,Categorias!A:B,2,0)),"",VLOOKUP(D154,Categorias!A:B,2,0))</f>
      </c>
      <c r="F154" s="2"/>
      <c r="G154" s="2"/>
      <c r="H154" s="2">
        <f>H153+F154-G154</f>
      </c>
    </row>
    <row r="155">
      <c r="B155" s="1"/>
      <c r="C155"/>
      <c r="D155"/>
      <c r="E155" s="0">
        <f>IF(ISERROR(VLOOKUP(D155,Categorias!A:B,2,0)),"",VLOOKUP(D155,Categorias!A:B,2,0))</f>
      </c>
      <c r="F155" s="2"/>
      <c r="G155" s="2"/>
      <c r="H155" s="2">
        <f>H154+F155-G155</f>
      </c>
    </row>
    <row r="156">
      <c r="B156" s="1"/>
      <c r="C156"/>
      <c r="D156"/>
      <c r="E156" s="0">
        <f>IF(ISERROR(VLOOKUP(D156,Categorias!A:B,2,0)),"",VLOOKUP(D156,Categorias!A:B,2,0))</f>
      </c>
      <c r="F156" s="2"/>
      <c r="G156" s="2"/>
      <c r="H156" s="2">
        <f>H155+F156-G156</f>
      </c>
    </row>
    <row r="157">
      <c r="B157" s="1"/>
      <c r="C157"/>
      <c r="D157"/>
      <c r="E157" s="0">
        <f>IF(ISERROR(VLOOKUP(D157,Categorias!A:B,2,0)),"",VLOOKUP(D157,Categorias!A:B,2,0))</f>
      </c>
      <c r="F157" s="2"/>
      <c r="G157" s="2"/>
      <c r="H157" s="2">
        <f>H156+F157-G157</f>
      </c>
    </row>
    <row r="158">
      <c r="B158" s="1"/>
      <c r="C158"/>
      <c r="D158"/>
      <c r="E158" s="0">
        <f>IF(ISERROR(VLOOKUP(D158,Categorias!A:B,2,0)),"",VLOOKUP(D158,Categorias!A:B,2,0))</f>
      </c>
      <c r="F158" s="2"/>
      <c r="G158" s="2"/>
      <c r="H158" s="2">
        <f>H157+F158-G158</f>
      </c>
    </row>
    <row r="159">
      <c r="B159" s="1"/>
      <c r="C159"/>
      <c r="D159"/>
      <c r="E159" s="0">
        <f>IF(ISERROR(VLOOKUP(D159,Categorias!A:B,2,0)),"",VLOOKUP(D159,Categorias!A:B,2,0))</f>
      </c>
      <c r="F159" s="2"/>
      <c r="G159" s="2"/>
      <c r="H159" s="2">
        <f>H158+F159-G159</f>
      </c>
    </row>
    <row r="160">
      <c r="B160" s="1"/>
      <c r="C160"/>
      <c r="D160"/>
      <c r="E160" s="0">
        <f>IF(ISERROR(VLOOKUP(D160,Categorias!A:B,2,0)),"",VLOOKUP(D160,Categorias!A:B,2,0))</f>
      </c>
      <c r="F160" s="2"/>
      <c r="G160" s="2"/>
      <c r="H160" s="2">
        <f>H159+F160-G160</f>
      </c>
    </row>
    <row r="161">
      <c r="B161" s="1"/>
      <c r="C161"/>
      <c r="D161"/>
      <c r="E161" s="0">
        <f>IF(ISERROR(VLOOKUP(D161,Categorias!A:B,2,0)),"",VLOOKUP(D161,Categorias!A:B,2,0))</f>
      </c>
      <c r="F161" s="2"/>
      <c r="G161" s="2"/>
      <c r="H161" s="2">
        <f>H160+F161-G161</f>
      </c>
    </row>
    <row r="162">
      <c r="B162" s="1"/>
      <c r="C162"/>
      <c r="D162"/>
      <c r="E162" s="0">
        <f>IF(ISERROR(VLOOKUP(D162,Categorias!A:B,2,0)),"",VLOOKUP(D162,Categorias!A:B,2,0))</f>
      </c>
      <c r="F162" s="2"/>
      <c r="G162" s="2"/>
      <c r="H162" s="2">
        <f>H161+F162-G162</f>
      </c>
    </row>
    <row r="163">
      <c r="B163" s="1"/>
      <c r="C163"/>
      <c r="D163"/>
      <c r="E163" s="0">
        <f>IF(ISERROR(VLOOKUP(D163,Categorias!A:B,2,0)),"",VLOOKUP(D163,Categorias!A:B,2,0))</f>
      </c>
      <c r="F163" s="2"/>
      <c r="G163" s="2"/>
      <c r="H163" s="2">
        <f>H162+F163-G163</f>
      </c>
    </row>
    <row r="164">
      <c r="B164" s="1"/>
      <c r="C164"/>
      <c r="D164"/>
      <c r="E164" s="0">
        <f>IF(ISERROR(VLOOKUP(D164,Categorias!A:B,2,0)),"",VLOOKUP(D164,Categorias!A:B,2,0))</f>
      </c>
      <c r="F164" s="2"/>
      <c r="G164" s="2"/>
      <c r="H164" s="2">
        <f>H163+F164-G164</f>
      </c>
    </row>
    <row r="165">
      <c r="B165" s="1"/>
      <c r="C165"/>
      <c r="D165"/>
      <c r="E165" s="0">
        <f>IF(ISERROR(VLOOKUP(D165,Categorias!A:B,2,0)),"",VLOOKUP(D165,Categorias!A:B,2,0))</f>
      </c>
      <c r="F165" s="2"/>
      <c r="G165" s="2"/>
      <c r="H165" s="2">
        <f>H164+F165-G165</f>
      </c>
    </row>
    <row r="166">
      <c r="B166" s="1"/>
      <c r="C166"/>
      <c r="D166"/>
      <c r="E166" s="0">
        <f>IF(ISERROR(VLOOKUP(D166,Categorias!A:B,2,0)),"",VLOOKUP(D166,Categorias!A:B,2,0))</f>
      </c>
      <c r="F166" s="2"/>
      <c r="G166" s="2"/>
      <c r="H166" s="2">
        <f>H165+F166-G166</f>
      </c>
    </row>
    <row r="167">
      <c r="B167" s="1"/>
      <c r="C167"/>
      <c r="D167"/>
      <c r="E167" s="0">
        <f>IF(ISERROR(VLOOKUP(D167,Categorias!A:B,2,0)),"",VLOOKUP(D167,Categorias!A:B,2,0))</f>
      </c>
      <c r="F167" s="2"/>
      <c r="G167" s="2"/>
      <c r="H167" s="2">
        <f>H166+F167-G167</f>
      </c>
    </row>
    <row r="168">
      <c r="B168" s="1"/>
      <c r="C168"/>
      <c r="D168"/>
      <c r="E168" s="0">
        <f>IF(ISERROR(VLOOKUP(D168,Categorias!A:B,2,0)),"",VLOOKUP(D168,Categorias!A:B,2,0))</f>
      </c>
      <c r="F168" s="2"/>
      <c r="G168" s="2"/>
      <c r="H168" s="2">
        <f>H167+F168-G168</f>
      </c>
    </row>
    <row r="169">
      <c r="B169" s="1"/>
      <c r="C169"/>
      <c r="D169"/>
      <c r="E169" s="0">
        <f>IF(ISERROR(VLOOKUP(D169,Categorias!A:B,2,0)),"",VLOOKUP(D169,Categorias!A:B,2,0))</f>
      </c>
      <c r="F169" s="2"/>
      <c r="G169" s="2"/>
      <c r="H169" s="2">
        <f>H168+F169-G169</f>
      </c>
    </row>
    <row r="170">
      <c r="B170" s="1"/>
      <c r="C170"/>
      <c r="D170"/>
      <c r="E170" s="0">
        <f>IF(ISERROR(VLOOKUP(D170,Categorias!A:B,2,0)),"",VLOOKUP(D170,Categorias!A:B,2,0))</f>
      </c>
      <c r="F170" s="2"/>
      <c r="G170" s="2"/>
      <c r="H170" s="2">
        <f>H169+F170-G170</f>
      </c>
    </row>
    <row r="171">
      <c r="B171" s="1"/>
      <c r="C171"/>
      <c r="D171"/>
      <c r="E171" s="0">
        <f>IF(ISERROR(VLOOKUP(D171,Categorias!A:B,2,0)),"",VLOOKUP(D171,Categorias!A:B,2,0))</f>
      </c>
      <c r="F171" s="2"/>
      <c r="G171" s="2"/>
      <c r="H171" s="2">
        <f>H170+F171-G171</f>
      </c>
    </row>
    <row r="172">
      <c r="B172" s="1"/>
      <c r="C172"/>
      <c r="D172"/>
      <c r="E172" s="0">
        <f>IF(ISERROR(VLOOKUP(D172,Categorias!A:B,2,0)),"",VLOOKUP(D172,Categorias!A:B,2,0))</f>
      </c>
      <c r="F172" s="2"/>
      <c r="G172" s="2"/>
      <c r="H172" s="2">
        <f>H171+F172-G172</f>
      </c>
    </row>
    <row r="173">
      <c r="B173" s="1"/>
      <c r="C173"/>
      <c r="D173"/>
      <c r="E173" s="0">
        <f>IF(ISERROR(VLOOKUP(D173,Categorias!A:B,2,0)),"",VLOOKUP(D173,Categorias!A:B,2,0))</f>
      </c>
      <c r="F173" s="2"/>
      <c r="G173" s="2"/>
      <c r="H173" s="2">
        <f>H172+F173-G173</f>
      </c>
    </row>
    <row r="174">
      <c r="B174" s="1"/>
      <c r="C174"/>
      <c r="D174"/>
      <c r="E174" s="0">
        <f>IF(ISERROR(VLOOKUP(D174,Categorias!A:B,2,0)),"",VLOOKUP(D174,Categorias!A:B,2,0))</f>
      </c>
      <c r="F174" s="2"/>
      <c r="G174" s="2"/>
      <c r="H174" s="2">
        <f>H173+F174-G174</f>
      </c>
    </row>
    <row r="175">
      <c r="B175" s="1"/>
      <c r="C175"/>
      <c r="D175"/>
      <c r="E175" s="0">
        <f>IF(ISERROR(VLOOKUP(D175,Categorias!A:B,2,0)),"",VLOOKUP(D175,Categorias!A:B,2,0))</f>
      </c>
      <c r="F175" s="2"/>
      <c r="G175" s="2"/>
      <c r="H175" s="2">
        <f>H174+F175-G175</f>
      </c>
    </row>
    <row r="176">
      <c r="B176" s="1"/>
      <c r="C176"/>
      <c r="D176"/>
      <c r="E176" s="0">
        <f>IF(ISERROR(VLOOKUP(D176,Categorias!A:B,2,0)),"",VLOOKUP(D176,Categorias!A:B,2,0))</f>
      </c>
      <c r="F176" s="2"/>
      <c r="G176" s="2"/>
      <c r="H176" s="2">
        <f>H175+F176-G176</f>
      </c>
    </row>
    <row r="177">
      <c r="B177" s="1"/>
      <c r="C177"/>
      <c r="D177"/>
      <c r="E177" s="0">
        <f>IF(ISERROR(VLOOKUP(D177,Categorias!A:B,2,0)),"",VLOOKUP(D177,Categorias!A:B,2,0))</f>
      </c>
      <c r="F177" s="2"/>
      <c r="G177" s="2"/>
      <c r="H177" s="2">
        <f>H176+F177-G177</f>
      </c>
    </row>
    <row r="178">
      <c r="B178" s="1"/>
      <c r="C178"/>
      <c r="D178"/>
      <c r="E178" s="0">
        <f>IF(ISERROR(VLOOKUP(D178,Categorias!A:B,2,0)),"",VLOOKUP(D178,Categorias!A:B,2,0))</f>
      </c>
      <c r="F178" s="2"/>
      <c r="G178" s="2"/>
      <c r="H178" s="2">
        <f>H177+F178-G178</f>
      </c>
    </row>
    <row r="179">
      <c r="B179" s="1"/>
      <c r="C179"/>
      <c r="D179"/>
      <c r="E179" s="0">
        <f>IF(ISERROR(VLOOKUP(D179,Categorias!A:B,2,0)),"",VLOOKUP(D179,Categorias!A:B,2,0))</f>
      </c>
      <c r="F179" s="2"/>
      <c r="G179" s="2"/>
      <c r="H179" s="2">
        <f>H178+F179-G179</f>
      </c>
    </row>
    <row r="180">
      <c r="B180" s="1"/>
      <c r="C180"/>
      <c r="D180"/>
      <c r="E180" s="0">
        <f>IF(ISERROR(VLOOKUP(D180,Categorias!A:B,2,0)),"",VLOOKUP(D180,Categorias!A:B,2,0))</f>
      </c>
      <c r="F180" s="2"/>
      <c r="G180" s="2"/>
      <c r="H180" s="2">
        <f>H179+F180-G180</f>
      </c>
    </row>
    <row r="181">
      <c r="B181" s="1"/>
      <c r="C181"/>
      <c r="D181"/>
      <c r="E181" s="0">
        <f>IF(ISERROR(VLOOKUP(D181,Categorias!A:B,2,0)),"",VLOOKUP(D181,Categorias!A:B,2,0))</f>
      </c>
      <c r="F181" s="2"/>
      <c r="G181" s="2"/>
      <c r="H181" s="2">
        <f>H180+F181-G181</f>
      </c>
    </row>
    <row r="182">
      <c r="B182" s="1"/>
      <c r="C182"/>
      <c r="D182"/>
      <c r="E182" s="0">
        <f>IF(ISERROR(VLOOKUP(D182,Categorias!A:B,2,0)),"",VLOOKUP(D182,Categorias!A:B,2,0))</f>
      </c>
      <c r="F182" s="2"/>
      <c r="G182" s="2"/>
      <c r="H182" s="2">
        <f>H181+F182-G182</f>
      </c>
    </row>
    <row r="183">
      <c r="B183" s="1"/>
      <c r="C183"/>
      <c r="D183"/>
      <c r="E183" s="0">
        <f>IF(ISERROR(VLOOKUP(D183,Categorias!A:B,2,0)),"",VLOOKUP(D183,Categorias!A:B,2,0))</f>
      </c>
      <c r="F183" s="2"/>
      <c r="G183" s="2"/>
      <c r="H183" s="2">
        <f>H182+F183-G183</f>
      </c>
    </row>
    <row r="184">
      <c r="B184" s="1"/>
      <c r="C184"/>
      <c r="D184"/>
      <c r="E184" s="0">
        <f>IF(ISERROR(VLOOKUP(D184,Categorias!A:B,2,0)),"",VLOOKUP(D184,Categorias!A:B,2,0))</f>
      </c>
      <c r="F184" s="2"/>
      <c r="G184" s="2"/>
      <c r="H184" s="2">
        <f>H183+F184-G184</f>
      </c>
    </row>
    <row r="185">
      <c r="B185" s="1"/>
      <c r="C185"/>
      <c r="D185"/>
      <c r="E185" s="0">
        <f>IF(ISERROR(VLOOKUP(D185,Categorias!A:B,2,0)),"",VLOOKUP(D185,Categorias!A:B,2,0))</f>
      </c>
      <c r="F185" s="2"/>
      <c r="G185" s="2"/>
      <c r="H185" s="2">
        <f>H184+F185-G185</f>
      </c>
    </row>
    <row r="186">
      <c r="B186" s="1"/>
      <c r="C186"/>
      <c r="D186"/>
      <c r="E186" s="0">
        <f>IF(ISERROR(VLOOKUP(D186,Categorias!A:B,2,0)),"",VLOOKUP(D186,Categorias!A:B,2,0))</f>
      </c>
      <c r="F186" s="2"/>
      <c r="G186" s="2"/>
      <c r="H186" s="2">
        <f>H185+F186-G186</f>
      </c>
    </row>
    <row r="187">
      <c r="B187" s="1"/>
      <c r="C187"/>
      <c r="D187"/>
      <c r="E187" s="0">
        <f>IF(ISERROR(VLOOKUP(D187,Categorias!A:B,2,0)),"",VLOOKUP(D187,Categorias!A:B,2,0))</f>
      </c>
      <c r="F187" s="2"/>
      <c r="G187" s="2"/>
      <c r="H187" s="2">
        <f>H186+F187-G187</f>
      </c>
    </row>
    <row r="188">
      <c r="B188" s="1"/>
      <c r="C188"/>
      <c r="D188"/>
      <c r="E188" s="0">
        <f>IF(ISERROR(VLOOKUP(D188,Categorias!A:B,2,0)),"",VLOOKUP(D188,Categorias!A:B,2,0))</f>
      </c>
      <c r="F188" s="2"/>
      <c r="G188" s="2"/>
      <c r="H188" s="2">
        <f>H187+F188-G188</f>
      </c>
    </row>
    <row r="189">
      <c r="B189" s="1"/>
      <c r="C189"/>
      <c r="D189"/>
      <c r="E189" s="0">
        <f>IF(ISERROR(VLOOKUP(D189,Categorias!A:B,2,0)),"",VLOOKUP(D189,Categorias!A:B,2,0))</f>
      </c>
      <c r="F189" s="2"/>
      <c r="G189" s="2"/>
      <c r="H189" s="2">
        <f>H188+F189-G189</f>
      </c>
    </row>
    <row r="190">
      <c r="B190" s="1"/>
      <c r="C190"/>
      <c r="D190"/>
      <c r="E190" s="0">
        <f>IF(ISERROR(VLOOKUP(D190,Categorias!A:B,2,0)),"",VLOOKUP(D190,Categorias!A:B,2,0))</f>
      </c>
      <c r="F190" s="2"/>
      <c r="G190" s="2"/>
      <c r="H190" s="2">
        <f>H189+F190-G190</f>
      </c>
    </row>
    <row r="191">
      <c r="B191" s="1"/>
      <c r="C191"/>
      <c r="D191"/>
      <c r="E191" s="0">
        <f>IF(ISERROR(VLOOKUP(D191,Categorias!A:B,2,0)),"",VLOOKUP(D191,Categorias!A:B,2,0))</f>
      </c>
      <c r="F191" s="2"/>
      <c r="G191" s="2"/>
      <c r="H191" s="2">
        <f>H190+F191-G191</f>
      </c>
    </row>
    <row r="192">
      <c r="B192" s="1"/>
      <c r="C192"/>
      <c r="D192"/>
      <c r="E192" s="0">
        <f>IF(ISERROR(VLOOKUP(D192,Categorias!A:B,2,0)),"",VLOOKUP(D192,Categorias!A:B,2,0))</f>
      </c>
      <c r="F192" s="2"/>
      <c r="G192" s="2"/>
      <c r="H192" s="2">
        <f>H191+F192-G192</f>
      </c>
    </row>
    <row r="193">
      <c r="B193" s="1"/>
      <c r="C193"/>
      <c r="D193"/>
      <c r="E193" s="0">
        <f>IF(ISERROR(VLOOKUP(D193,Categorias!A:B,2,0)),"",VLOOKUP(D193,Categorias!A:B,2,0))</f>
      </c>
      <c r="F193" s="2"/>
      <c r="G193" s="2"/>
      <c r="H193" s="2">
        <f>H192+F193-G193</f>
      </c>
    </row>
    <row r="194">
      <c r="B194" s="1"/>
      <c r="C194"/>
      <c r="D194"/>
      <c r="E194" s="0">
        <f>IF(ISERROR(VLOOKUP(D194,Categorias!A:B,2,0)),"",VLOOKUP(D194,Categorias!A:B,2,0))</f>
      </c>
      <c r="F194" s="2"/>
      <c r="G194" s="2"/>
      <c r="H194" s="2">
        <f>H193+F194-G194</f>
      </c>
    </row>
    <row r="195">
      <c r="B195" s="1"/>
      <c r="C195"/>
      <c r="D195"/>
      <c r="E195" s="0">
        <f>IF(ISERROR(VLOOKUP(D195,Categorias!A:B,2,0)),"",VLOOKUP(D195,Categorias!A:B,2,0))</f>
      </c>
      <c r="F195" s="2"/>
      <c r="G195" s="2"/>
      <c r="H195" s="2">
        <f>H194+F195-G195</f>
      </c>
    </row>
    <row r="196">
      <c r="B196" s="1"/>
      <c r="C196"/>
      <c r="D196"/>
      <c r="E196" s="0">
        <f>IF(ISERROR(VLOOKUP(D196,Categorias!A:B,2,0)),"",VLOOKUP(D196,Categorias!A:B,2,0))</f>
      </c>
      <c r="F196" s="2"/>
      <c r="G196" s="2"/>
      <c r="H196" s="2">
        <f>H195+F196-G196</f>
      </c>
    </row>
    <row r="197">
      <c r="B197" s="1"/>
      <c r="C197"/>
      <c r="D197"/>
      <c r="E197" s="0">
        <f>IF(ISERROR(VLOOKUP(D197,Categorias!A:B,2,0)),"",VLOOKUP(D197,Categorias!A:B,2,0))</f>
      </c>
      <c r="F197" s="2"/>
      <c r="G197" s="2"/>
      <c r="H197" s="2">
        <f>H196+F197-G197</f>
      </c>
    </row>
    <row r="198">
      <c r="B198" s="1"/>
      <c r="C198"/>
      <c r="D198"/>
      <c r="E198" s="0">
        <f>IF(ISERROR(VLOOKUP(D198,Categorias!A:B,2,0)),"",VLOOKUP(D198,Categorias!A:B,2,0))</f>
      </c>
      <c r="F198" s="2"/>
      <c r="G198" s="2"/>
      <c r="H198" s="2">
        <f>H197+F198-G198</f>
      </c>
    </row>
    <row r="199">
      <c r="B199" s="1"/>
      <c r="C199"/>
      <c r="D199"/>
      <c r="E199" s="0">
        <f>IF(ISERROR(VLOOKUP(D199,Categorias!A:B,2,0)),"",VLOOKUP(D199,Categorias!A:B,2,0))</f>
      </c>
      <c r="F199" s="2"/>
      <c r="G199" s="2"/>
      <c r="H199" s="2">
        <f>H198+F199-G199</f>
      </c>
    </row>
    <row r="200">
      <c r="B200" s="1"/>
      <c r="C200"/>
      <c r="D200"/>
      <c r="E200" s="0">
        <f>IF(ISERROR(VLOOKUP(D200,Categorias!A:B,2,0)),"",VLOOKUP(D200,Categorias!A:B,2,0))</f>
      </c>
      <c r="F200" s="2"/>
      <c r="G200" s="2"/>
      <c r="H200" s="2">
        <f>H199+F200-G200</f>
      </c>
    </row>
    <row r="201">
      <c r="B201" s="1"/>
      <c r="C201"/>
      <c r="D201"/>
      <c r="E201" s="0">
        <f>IF(ISERROR(VLOOKUP(D201,Categorias!A:B,2,0)),"",VLOOKUP(D201,Categorias!A:B,2,0))</f>
      </c>
      <c r="F201" s="2"/>
      <c r="G201" s="2"/>
      <c r="H201" s="2">
        <f>H200+F201-G201</f>
      </c>
    </row>
    <row r="202">
      <c r="B202" s="1"/>
      <c r="C202"/>
      <c r="D202"/>
      <c r="E202" s="0">
        <f>IF(ISERROR(VLOOKUP(D202,Categorias!A:B,2,0)),"",VLOOKUP(D202,Categorias!A:B,2,0))</f>
      </c>
      <c r="F202" s="2"/>
      <c r="G202" s="2"/>
      <c r="H202" s="2">
        <f>H201+F202-G202</f>
      </c>
    </row>
    <row r="203">
      <c r="B203" s="1"/>
      <c r="C203"/>
      <c r="D203"/>
      <c r="E203" s="0">
        <f>IF(ISERROR(VLOOKUP(D203,Categorias!A:B,2,0)),"",VLOOKUP(D203,Categorias!A:B,2,0))</f>
      </c>
      <c r="F203" s="2"/>
      <c r="G203" s="2"/>
      <c r="H203" s="2">
        <f>H202+F203-G203</f>
      </c>
    </row>
    <row r="204">
      <c r="B204" s="1"/>
      <c r="C204"/>
      <c r="D204"/>
      <c r="E204" s="0">
        <f>IF(ISERROR(VLOOKUP(D204,Categorias!A:B,2,0)),"",VLOOKUP(D204,Categorias!A:B,2,0))</f>
      </c>
      <c r="F204" s="2"/>
      <c r="G204" s="2"/>
      <c r="H204" s="2">
        <f>H203+F204-G204</f>
      </c>
    </row>
    <row r="205">
      <c r="B205" s="1"/>
      <c r="C205"/>
      <c r="D205"/>
      <c r="E205" s="0">
        <f>IF(ISERROR(VLOOKUP(D205,Categorias!A:B,2,0)),"",VLOOKUP(D205,Categorias!A:B,2,0))</f>
      </c>
      <c r="F205" s="2"/>
      <c r="G205" s="2"/>
      <c r="H205" s="2">
        <f>H204+F205-G205</f>
      </c>
    </row>
    <row r="206">
      <c r="B206" s="1"/>
      <c r="C206"/>
      <c r="D206"/>
      <c r="E206" s="0">
        <f>IF(ISERROR(VLOOKUP(D206,Categorias!A:B,2,0)),"",VLOOKUP(D206,Categorias!A:B,2,0))</f>
      </c>
      <c r="F206" s="2"/>
      <c r="G206" s="2"/>
      <c r="H206" s="2">
        <f>H205+F206-G206</f>
      </c>
    </row>
    <row r="207">
      <c r="B207" s="1"/>
      <c r="C207"/>
      <c r="D207"/>
      <c r="E207" s="0">
        <f>IF(ISERROR(VLOOKUP(D207,Categorias!A:B,2,0)),"",VLOOKUP(D207,Categorias!A:B,2,0))</f>
      </c>
      <c r="F207" s="2"/>
      <c r="G207" s="2"/>
      <c r="H207" s="2">
        <f>H206+F207-G207</f>
      </c>
    </row>
    <row r="208">
      <c r="B208" s="1"/>
      <c r="C208"/>
      <c r="D208"/>
      <c r="E208" s="0">
        <f>IF(ISERROR(VLOOKUP(D208,Categorias!A:B,2,0)),"",VLOOKUP(D208,Categorias!A:B,2,0))</f>
      </c>
      <c r="F208" s="2"/>
      <c r="G208" s="2"/>
      <c r="H208" s="2">
        <f>H207+F208-G208</f>
      </c>
    </row>
    <row r="209">
      <c r="B209" s="1"/>
      <c r="C209"/>
      <c r="D209"/>
      <c r="E209" s="0">
        <f>IF(ISERROR(VLOOKUP(D209,Categorias!A:B,2,0)),"",VLOOKUP(D209,Categorias!A:B,2,0))</f>
      </c>
      <c r="F209" s="2"/>
      <c r="G209" s="2"/>
      <c r="H209" s="2">
        <f>H208+F209-G209</f>
      </c>
    </row>
    <row r="210">
      <c r="B210" s="1"/>
      <c r="C210"/>
      <c r="D210"/>
      <c r="E210" s="0">
        <f>IF(ISERROR(VLOOKUP(D210,Categorias!A:B,2,0)),"",VLOOKUP(D210,Categorias!A:B,2,0))</f>
      </c>
      <c r="F210" s="2"/>
      <c r="G210" s="2"/>
      <c r="H210" s="2">
        <f>H209+F210-G210</f>
      </c>
    </row>
    <row r="211">
      <c r="B211" s="1"/>
      <c r="C211"/>
      <c r="D211"/>
      <c r="E211" s="0">
        <f>IF(ISERROR(VLOOKUP(D211,Categorias!A:B,2,0)),"",VLOOKUP(D211,Categorias!A:B,2,0))</f>
      </c>
      <c r="F211" s="2"/>
      <c r="G211" s="2"/>
      <c r="H211" s="2">
        <f>H210+F211-G211</f>
      </c>
    </row>
    <row r="212">
      <c r="B212" s="1"/>
      <c r="C212"/>
      <c r="D212"/>
      <c r="E212" s="0">
        <f>IF(ISERROR(VLOOKUP(D212,Categorias!A:B,2,0)),"",VLOOKUP(D212,Categorias!A:B,2,0))</f>
      </c>
      <c r="F212" s="2"/>
      <c r="G212" s="2"/>
      <c r="H212" s="2">
        <f>H211+F212-G212</f>
      </c>
    </row>
    <row r="213">
      <c r="B213" s="1"/>
      <c r="C213"/>
      <c r="D213"/>
      <c r="E213" s="0">
        <f>IF(ISERROR(VLOOKUP(D213,Categorias!A:B,2,0)),"",VLOOKUP(D213,Categorias!A:B,2,0))</f>
      </c>
      <c r="F213" s="2"/>
      <c r="G213" s="2"/>
      <c r="H213" s="2">
        <f>H212+F213-G213</f>
      </c>
    </row>
    <row r="214">
      <c r="B214" s="1"/>
      <c r="C214"/>
      <c r="D214"/>
      <c r="E214" s="0">
        <f>IF(ISERROR(VLOOKUP(D214,Categorias!A:B,2,0)),"",VLOOKUP(D214,Categorias!A:B,2,0))</f>
      </c>
      <c r="F214" s="2"/>
      <c r="G214" s="2"/>
      <c r="H214" s="2">
        <f>H213+F214-G214</f>
      </c>
    </row>
    <row r="215">
      <c r="B215" s="1"/>
      <c r="C215"/>
      <c r="D215"/>
      <c r="E215" s="0">
        <f>IF(ISERROR(VLOOKUP(D215,Categorias!A:B,2,0)),"",VLOOKUP(D215,Categorias!A:B,2,0))</f>
      </c>
      <c r="F215" s="2"/>
      <c r="G215" s="2"/>
      <c r="H215" s="2">
        <f>H214+F215-G215</f>
      </c>
    </row>
    <row r="216">
      <c r="B216" s="1"/>
      <c r="C216"/>
      <c r="D216"/>
      <c r="E216" s="0">
        <f>IF(ISERROR(VLOOKUP(D216,Categorias!A:B,2,0)),"",VLOOKUP(D216,Categorias!A:B,2,0))</f>
      </c>
      <c r="F216" s="2"/>
      <c r="G216" s="2"/>
      <c r="H216" s="2">
        <f>H215+F216-G216</f>
      </c>
    </row>
    <row r="217">
      <c r="B217" s="1"/>
      <c r="C217"/>
      <c r="D217"/>
      <c r="E217" s="0">
        <f>IF(ISERROR(VLOOKUP(D217,Categorias!A:B,2,0)),"",VLOOKUP(D217,Categorias!A:B,2,0))</f>
      </c>
      <c r="F217" s="2"/>
      <c r="G217" s="2"/>
      <c r="H217" s="2">
        <f>H216+F217-G217</f>
      </c>
    </row>
    <row r="218">
      <c r="B218" s="1"/>
      <c r="C218"/>
      <c r="D218"/>
      <c r="E218" s="0">
        <f>IF(ISERROR(VLOOKUP(D218,Categorias!A:B,2,0)),"",VLOOKUP(D218,Categorias!A:B,2,0))</f>
      </c>
      <c r="F218" s="2"/>
      <c r="G218" s="2"/>
      <c r="H218" s="2">
        <f>H217+F218-G218</f>
      </c>
    </row>
    <row r="219">
      <c r="B219" s="1"/>
      <c r="C219"/>
      <c r="D219"/>
      <c r="E219" s="0">
        <f>IF(ISERROR(VLOOKUP(D219,Categorias!A:B,2,0)),"",VLOOKUP(D219,Categorias!A:B,2,0))</f>
      </c>
      <c r="F219" s="2"/>
      <c r="G219" s="2"/>
      <c r="H219" s="2">
        <f>H218+F219-G219</f>
      </c>
    </row>
    <row r="220">
      <c r="B220" s="1"/>
      <c r="C220"/>
      <c r="D220"/>
      <c r="E220" s="0">
        <f>IF(ISERROR(VLOOKUP(D220,Categorias!A:B,2,0)),"",VLOOKUP(D220,Categorias!A:B,2,0))</f>
      </c>
      <c r="F220" s="2"/>
      <c r="G220" s="2"/>
      <c r="H220" s="2">
        <f>H219+F220-G220</f>
      </c>
    </row>
    <row r="221">
      <c r="B221" s="1"/>
      <c r="C221"/>
      <c r="D221"/>
      <c r="E221" s="0">
        <f>IF(ISERROR(VLOOKUP(D221,Categorias!A:B,2,0)),"",VLOOKUP(D221,Categorias!A:B,2,0))</f>
      </c>
      <c r="F221" s="2"/>
      <c r="G221" s="2"/>
      <c r="H221" s="2">
        <f>H220+F221-G221</f>
      </c>
    </row>
    <row r="222">
      <c r="B222" s="1"/>
      <c r="C222"/>
      <c r="D222"/>
      <c r="E222" s="0">
        <f>IF(ISERROR(VLOOKUP(D222,Categorias!A:B,2,0)),"",VLOOKUP(D222,Categorias!A:B,2,0))</f>
      </c>
      <c r="F222" s="2"/>
      <c r="G222" s="2"/>
      <c r="H222" s="2">
        <f>H221+F222-G222</f>
      </c>
    </row>
    <row r="223">
      <c r="B223" s="1"/>
      <c r="C223"/>
      <c r="D223"/>
      <c r="E223" s="0">
        <f>IF(ISERROR(VLOOKUP(D223,Categorias!A:B,2,0)),"",VLOOKUP(D223,Categorias!A:B,2,0))</f>
      </c>
      <c r="F223" s="2"/>
      <c r="G223" s="2"/>
      <c r="H223" s="2">
        <f>H222+F223-G223</f>
      </c>
    </row>
    <row r="224">
      <c r="B224" s="1"/>
      <c r="C224"/>
      <c r="D224"/>
      <c r="E224" s="0">
        <f>IF(ISERROR(VLOOKUP(D224,Categorias!A:B,2,0)),"",VLOOKUP(D224,Categorias!A:B,2,0))</f>
      </c>
      <c r="F224" s="2"/>
      <c r="G224" s="2"/>
      <c r="H224" s="2">
        <f>H223+F224-G224</f>
      </c>
    </row>
    <row r="225">
      <c r="B225" s="1"/>
      <c r="C225"/>
      <c r="D225"/>
      <c r="E225" s="0">
        <f>IF(ISERROR(VLOOKUP(D225,Categorias!A:B,2,0)),"",VLOOKUP(D225,Categorias!A:B,2,0))</f>
      </c>
      <c r="F225" s="2"/>
      <c r="G225" s="2"/>
      <c r="H225" s="2">
        <f>H224+F225-G225</f>
      </c>
    </row>
    <row r="226">
      <c r="B226" s="1"/>
      <c r="C226"/>
      <c r="D226"/>
      <c r="E226" s="0">
        <f>IF(ISERROR(VLOOKUP(D226,Categorias!A:B,2,0)),"",VLOOKUP(D226,Categorias!A:B,2,0))</f>
      </c>
      <c r="F226" s="2"/>
      <c r="G226" s="2"/>
      <c r="H226" s="2">
        <f>H225+F226-G226</f>
      </c>
    </row>
    <row r="227">
      <c r="B227" s="1"/>
      <c r="C227"/>
      <c r="D227"/>
      <c r="E227" s="0">
        <f>IF(ISERROR(VLOOKUP(D227,Categorias!A:B,2,0)),"",VLOOKUP(D227,Categorias!A:B,2,0))</f>
      </c>
      <c r="F227" s="2"/>
      <c r="G227" s="2"/>
      <c r="H227" s="2">
        <f>H226+F227-G227</f>
      </c>
    </row>
    <row r="228">
      <c r="B228" s="1"/>
      <c r="C228"/>
      <c r="D228"/>
      <c r="E228" s="0">
        <f>IF(ISERROR(VLOOKUP(D228,Categorias!A:B,2,0)),"",VLOOKUP(D228,Categorias!A:B,2,0))</f>
      </c>
      <c r="F228" s="2"/>
      <c r="G228" s="2"/>
      <c r="H228" s="2">
        <f>H227+F228-G228</f>
      </c>
    </row>
    <row r="229">
      <c r="B229" s="1"/>
      <c r="C229"/>
      <c r="D229"/>
      <c r="E229" s="0">
        <f>IF(ISERROR(VLOOKUP(D229,Categorias!A:B,2,0)),"",VLOOKUP(D229,Categorias!A:B,2,0))</f>
      </c>
      <c r="F229" s="2"/>
      <c r="G229" s="2"/>
      <c r="H229" s="2">
        <f>H228+F229-G229</f>
      </c>
    </row>
    <row r="230">
      <c r="B230" s="1"/>
      <c r="C230"/>
      <c r="D230"/>
      <c r="E230" s="0">
        <f>IF(ISERROR(VLOOKUP(D230,Categorias!A:B,2,0)),"",VLOOKUP(D230,Categorias!A:B,2,0))</f>
      </c>
      <c r="F230" s="2"/>
      <c r="G230" s="2"/>
      <c r="H230" s="2">
        <f>H229+F230-G230</f>
      </c>
    </row>
    <row r="231">
      <c r="B231" s="1"/>
      <c r="C231"/>
      <c r="D231"/>
      <c r="E231" s="0">
        <f>IF(ISERROR(VLOOKUP(D231,Categorias!A:B,2,0)),"",VLOOKUP(D231,Categorias!A:B,2,0))</f>
      </c>
      <c r="F231" s="2"/>
      <c r="G231" s="2"/>
      <c r="H231" s="2">
        <f>H230+F231-G231</f>
      </c>
    </row>
    <row r="232">
      <c r="B232" s="1"/>
      <c r="C232"/>
      <c r="D232"/>
      <c r="E232" s="0">
        <f>IF(ISERROR(VLOOKUP(D232,Categorias!A:B,2,0)),"",VLOOKUP(D232,Categorias!A:B,2,0))</f>
      </c>
      <c r="F232" s="2"/>
      <c r="G232" s="2"/>
      <c r="H232" s="2">
        <f>H231+F232-G232</f>
      </c>
    </row>
    <row r="233">
      <c r="B233" s="1"/>
      <c r="C233"/>
      <c r="D233"/>
      <c r="E233" s="0">
        <f>IF(ISERROR(VLOOKUP(D233,Categorias!A:B,2,0)),"",VLOOKUP(D233,Categorias!A:B,2,0))</f>
      </c>
      <c r="F233" s="2"/>
      <c r="G233" s="2"/>
      <c r="H233" s="2">
        <f>H232+F233-G233</f>
      </c>
    </row>
    <row r="234">
      <c r="B234" s="1"/>
      <c r="C234"/>
      <c r="D234"/>
      <c r="E234" s="0">
        <f>IF(ISERROR(VLOOKUP(D234,Categorias!A:B,2,0)),"",VLOOKUP(D234,Categorias!A:B,2,0))</f>
      </c>
      <c r="F234" s="2"/>
      <c r="G234" s="2"/>
      <c r="H234" s="2">
        <f>H233+F234-G234</f>
      </c>
    </row>
    <row r="235">
      <c r="B235" s="1"/>
      <c r="C235"/>
      <c r="D235"/>
      <c r="E235" s="0">
        <f>IF(ISERROR(VLOOKUP(D235,Categorias!A:B,2,0)),"",VLOOKUP(D235,Categorias!A:B,2,0))</f>
      </c>
      <c r="F235" s="2"/>
      <c r="G235" s="2"/>
      <c r="H235" s="2">
        <f>H234+F235-G235</f>
      </c>
    </row>
    <row r="236">
      <c r="B236" s="1"/>
      <c r="C236"/>
      <c r="D236"/>
      <c r="E236" s="0">
        <f>IF(ISERROR(VLOOKUP(D236,Categorias!A:B,2,0)),"",VLOOKUP(D236,Categorias!A:B,2,0))</f>
      </c>
      <c r="F236" s="2"/>
      <c r="G236" s="2"/>
      <c r="H236" s="2">
        <f>H235+F236-G236</f>
      </c>
    </row>
    <row r="237">
      <c r="B237" s="1"/>
      <c r="C237"/>
      <c r="D237"/>
      <c r="E237" s="0">
        <f>IF(ISERROR(VLOOKUP(D237,Categorias!A:B,2,0)),"",VLOOKUP(D237,Categorias!A:B,2,0))</f>
      </c>
      <c r="F237" s="2"/>
      <c r="G237" s="2"/>
      <c r="H237" s="2">
        <f>H236+F237-G237</f>
      </c>
    </row>
    <row r="238">
      <c r="B238" s="1"/>
      <c r="C238"/>
      <c r="D238"/>
      <c r="E238" s="0">
        <f>IF(ISERROR(VLOOKUP(D238,Categorias!A:B,2,0)),"",VLOOKUP(D238,Categorias!A:B,2,0))</f>
      </c>
      <c r="F238" s="2"/>
      <c r="G238" s="2"/>
      <c r="H238" s="2">
        <f>H237+F238-G238</f>
      </c>
    </row>
    <row r="239">
      <c r="B239" s="1"/>
      <c r="C239"/>
      <c r="D239"/>
      <c r="E239" s="0">
        <f>IF(ISERROR(VLOOKUP(D239,Categorias!A:B,2,0)),"",VLOOKUP(D239,Categorias!A:B,2,0))</f>
      </c>
      <c r="F239" s="2"/>
      <c r="G239" s="2"/>
      <c r="H239" s="2">
        <f>H238+F239-G239</f>
      </c>
    </row>
    <row r="240">
      <c r="B240" s="1"/>
      <c r="C240"/>
      <c r="D240"/>
      <c r="E240" s="0">
        <f>IF(ISERROR(VLOOKUP(D240,Categorias!A:B,2,0)),"",VLOOKUP(D240,Categorias!A:B,2,0))</f>
      </c>
      <c r="F240" s="2"/>
      <c r="G240" s="2"/>
      <c r="H240" s="2">
        <f>H239+F240-G240</f>
      </c>
    </row>
    <row r="241">
      <c r="B241" s="1"/>
      <c r="C241"/>
      <c r="D241"/>
      <c r="E241" s="0">
        <f>IF(ISERROR(VLOOKUP(D241,Categorias!A:B,2,0)),"",VLOOKUP(D241,Categorias!A:B,2,0))</f>
      </c>
      <c r="F241" s="2"/>
      <c r="G241" s="2"/>
      <c r="H241" s="2">
        <f>H240+F241-G241</f>
      </c>
    </row>
    <row r="242">
      <c r="B242" s="1"/>
      <c r="C242"/>
      <c r="D242"/>
      <c r="E242" s="0">
        <f>IF(ISERROR(VLOOKUP(D242,Categorias!A:B,2,0)),"",VLOOKUP(D242,Categorias!A:B,2,0))</f>
      </c>
      <c r="F242" s="2"/>
      <c r="G242" s="2"/>
      <c r="H242" s="2">
        <f>H241+F242-G242</f>
      </c>
    </row>
    <row r="243">
      <c r="B243" s="1"/>
      <c r="C243"/>
      <c r="D243"/>
      <c r="E243" s="0">
        <f>IF(ISERROR(VLOOKUP(D243,Categorias!A:B,2,0)),"",VLOOKUP(D243,Categorias!A:B,2,0))</f>
      </c>
      <c r="F243" s="2"/>
      <c r="G243" s="2"/>
      <c r="H243" s="2">
        <f>H242+F243-G243</f>
      </c>
    </row>
    <row r="244">
      <c r="B244" s="1"/>
      <c r="C244"/>
      <c r="D244"/>
      <c r="E244" s="0">
        <f>IF(ISERROR(VLOOKUP(D244,Categorias!A:B,2,0)),"",VLOOKUP(D244,Categorias!A:B,2,0))</f>
      </c>
      <c r="F244" s="2"/>
      <c r="G244" s="2"/>
      <c r="H244" s="2">
        <f>H243+F244-G244</f>
      </c>
    </row>
    <row r="245">
      <c r="B245" s="1"/>
      <c r="C245"/>
      <c r="D245"/>
      <c r="E245" s="0">
        <f>IF(ISERROR(VLOOKUP(D245,Categorias!A:B,2,0)),"",VLOOKUP(D245,Categorias!A:B,2,0))</f>
      </c>
      <c r="F245" s="2"/>
      <c r="G245" s="2"/>
      <c r="H245" s="2">
        <f>H244+F245-G245</f>
      </c>
    </row>
    <row r="246">
      <c r="B246" s="1"/>
      <c r="C246"/>
      <c r="D246"/>
      <c r="E246" s="0">
        <f>IF(ISERROR(VLOOKUP(D246,Categorias!A:B,2,0)),"",VLOOKUP(D246,Categorias!A:B,2,0))</f>
      </c>
      <c r="F246" s="2"/>
      <c r="G246" s="2"/>
      <c r="H246" s="2">
        <f>H245+F246-G246</f>
      </c>
    </row>
    <row r="247">
      <c r="B247" s="1"/>
      <c r="C247"/>
      <c r="D247"/>
      <c r="E247" s="0">
        <f>IF(ISERROR(VLOOKUP(D247,Categorias!A:B,2,0)),"",VLOOKUP(D247,Categorias!A:B,2,0))</f>
      </c>
      <c r="F247" s="2"/>
      <c r="G247" s="2"/>
      <c r="H247" s="2">
        <f>H246+F247-G247</f>
      </c>
    </row>
    <row r="248">
      <c r="B248" s="1"/>
      <c r="C248"/>
      <c r="D248"/>
      <c r="E248" s="0">
        <f>IF(ISERROR(VLOOKUP(D248,Categorias!A:B,2,0)),"",VLOOKUP(D248,Categorias!A:B,2,0))</f>
      </c>
      <c r="F248" s="2"/>
      <c r="G248" s="2"/>
      <c r="H248" s="2">
        <f>H247+F248-G248</f>
      </c>
    </row>
    <row r="249">
      <c r="B249" s="1"/>
      <c r="C249"/>
      <c r="D249"/>
      <c r="E249" s="0">
        <f>IF(ISERROR(VLOOKUP(D249,Categorias!A:B,2,0)),"",VLOOKUP(D249,Categorias!A:B,2,0))</f>
      </c>
      <c r="F249" s="2"/>
      <c r="G249" s="2"/>
      <c r="H249" s="2">
        <f>H248+F249-G249</f>
      </c>
    </row>
    <row r="250">
      <c r="B250" s="1"/>
      <c r="C250"/>
      <c r="D250"/>
      <c r="E250" s="0">
        <f>IF(ISERROR(VLOOKUP(D250,Categorias!A:B,2,0)),"",VLOOKUP(D250,Categorias!A:B,2,0))</f>
      </c>
      <c r="F250" s="2"/>
      <c r="G250" s="2"/>
      <c r="H250" s="2">
        <f>H249+F250-G250</f>
      </c>
    </row>
    <row r="251">
      <c r="B251" s="1"/>
      <c r="C251"/>
      <c r="D251"/>
      <c r="E251" s="0">
        <f>IF(ISERROR(VLOOKUP(D251,Categorias!A:B,2,0)),"",VLOOKUP(D251,Categorias!A:B,2,0))</f>
      </c>
      <c r="F251" s="2"/>
      <c r="G251" s="2"/>
      <c r="H251" s="2">
        <f>H250+F251-G251</f>
      </c>
    </row>
    <row r="252">
      <c r="B252" s="1"/>
      <c r="C252"/>
      <c r="D252"/>
      <c r="E252" s="0">
        <f>IF(ISERROR(VLOOKUP(D252,Categorias!A:B,2,0)),"",VLOOKUP(D252,Categorias!A:B,2,0))</f>
      </c>
      <c r="F252" s="2"/>
      <c r="G252" s="2"/>
      <c r="H252" s="2">
        <f>H251+F252-G252</f>
      </c>
    </row>
    <row r="253">
      <c r="B253" s="1"/>
      <c r="C253"/>
      <c r="D253"/>
      <c r="E253" s="0">
        <f>IF(ISERROR(VLOOKUP(D253,Categorias!A:B,2,0)),"",VLOOKUP(D253,Categorias!A:B,2,0))</f>
      </c>
      <c r="F253" s="2"/>
      <c r="G253" s="2"/>
      <c r="H253" s="2">
        <f>H252+F253-G253</f>
      </c>
    </row>
    <row r="254">
      <c r="B254" s="1"/>
      <c r="C254"/>
      <c r="D254"/>
      <c r="E254" s="0">
        <f>IF(ISERROR(VLOOKUP(D254,Categorias!A:B,2,0)),"",VLOOKUP(D254,Categorias!A:B,2,0))</f>
      </c>
      <c r="F254" s="2"/>
      <c r="G254" s="2"/>
      <c r="H254" s="2">
        <f>H253+F254-G254</f>
      </c>
    </row>
    <row r="255">
      <c r="B255" s="1"/>
      <c r="C255"/>
      <c r="D255"/>
      <c r="E255" s="0">
        <f>IF(ISERROR(VLOOKUP(D255,Categorias!A:B,2,0)),"",VLOOKUP(D255,Categorias!A:B,2,0))</f>
      </c>
      <c r="F255" s="2"/>
      <c r="G255" s="2"/>
      <c r="H255" s="2">
        <f>H254+F255-G255</f>
      </c>
    </row>
    <row r="256">
      <c r="B256" s="1"/>
      <c r="C256"/>
      <c r="D256"/>
      <c r="E256" s="0">
        <f>IF(ISERROR(VLOOKUP(D256,Categorias!A:B,2,0)),"",VLOOKUP(D256,Categorias!A:B,2,0))</f>
      </c>
      <c r="F256" s="2"/>
      <c r="G256" s="2"/>
      <c r="H256" s="2">
        <f>H255+F256-G256</f>
      </c>
    </row>
    <row r="257">
      <c r="B257" s="1"/>
      <c r="C257"/>
      <c r="D257"/>
      <c r="E257" s="0">
        <f>IF(ISERROR(VLOOKUP(D257,Categorias!A:B,2,0)),"",VLOOKUP(D257,Categorias!A:B,2,0))</f>
      </c>
      <c r="F257" s="2"/>
      <c r="G257" s="2"/>
      <c r="H257" s="2">
        <f>H256+F257-G257</f>
      </c>
    </row>
    <row r="258">
      <c r="B258" s="1"/>
      <c r="C258"/>
      <c r="D258"/>
      <c r="E258" s="0">
        <f>IF(ISERROR(VLOOKUP(D258,Categorias!A:B,2,0)),"",VLOOKUP(D258,Categorias!A:B,2,0))</f>
      </c>
      <c r="F258" s="2"/>
      <c r="G258" s="2"/>
      <c r="H258" s="2">
        <f>H257+F258-G258</f>
      </c>
    </row>
    <row r="259">
      <c r="B259" s="1"/>
      <c r="C259"/>
      <c r="D259"/>
      <c r="E259" s="0">
        <f>IF(ISERROR(VLOOKUP(D259,Categorias!A:B,2,0)),"",VLOOKUP(D259,Categorias!A:B,2,0))</f>
      </c>
      <c r="F259" s="2"/>
      <c r="G259" s="2"/>
      <c r="H259" s="2">
        <f>H258+F259-G259</f>
      </c>
    </row>
    <row r="260">
      <c r="B260" s="1"/>
      <c r="C260"/>
      <c r="D260"/>
      <c r="E260" s="0">
        <f>IF(ISERROR(VLOOKUP(D260,Categorias!A:B,2,0)),"",VLOOKUP(D260,Categorias!A:B,2,0))</f>
      </c>
      <c r="F260" s="2"/>
      <c r="G260" s="2"/>
      <c r="H260" s="2">
        <f>H259+F260-G260</f>
      </c>
    </row>
    <row r="261">
      <c r="B261" s="1"/>
      <c r="C261"/>
      <c r="D261"/>
      <c r="E261" s="0">
        <f>IF(ISERROR(VLOOKUP(D261,Categorias!A:B,2,0)),"",VLOOKUP(D261,Categorias!A:B,2,0))</f>
      </c>
      <c r="F261" s="2"/>
      <c r="G261" s="2"/>
      <c r="H261" s="2">
        <f>H260+F261-G261</f>
      </c>
    </row>
    <row r="262">
      <c r="B262" s="1"/>
      <c r="C262"/>
      <c r="D262"/>
      <c r="E262" s="0">
        <f>IF(ISERROR(VLOOKUP(D262,Categorias!A:B,2,0)),"",VLOOKUP(D262,Categorias!A:B,2,0))</f>
      </c>
      <c r="F262" s="2"/>
      <c r="G262" s="2"/>
      <c r="H262" s="2">
        <f>H261+F262-G262</f>
      </c>
    </row>
    <row r="263">
      <c r="B263" s="1"/>
      <c r="C263"/>
      <c r="D263"/>
      <c r="E263" s="0">
        <f>IF(ISERROR(VLOOKUP(D263,Categorias!A:B,2,0)),"",VLOOKUP(D263,Categorias!A:B,2,0))</f>
      </c>
      <c r="F263" s="2"/>
      <c r="G263" s="2"/>
      <c r="H263" s="2">
        <f>H262+F263-G263</f>
      </c>
    </row>
    <row r="264">
      <c r="B264" s="1"/>
      <c r="C264"/>
      <c r="D264"/>
      <c r="E264" s="0">
        <f>IF(ISERROR(VLOOKUP(D264,Categorias!A:B,2,0)),"",VLOOKUP(D264,Categorias!A:B,2,0))</f>
      </c>
      <c r="F264" s="2"/>
      <c r="G264" s="2"/>
      <c r="H264" s="2">
        <f>H263+F264-G264</f>
      </c>
    </row>
    <row r="265">
      <c r="B265" s="1"/>
      <c r="C265"/>
      <c r="D265"/>
      <c r="E265" s="0">
        <f>IF(ISERROR(VLOOKUP(D265,Categorias!A:B,2,0)),"",VLOOKUP(D265,Categorias!A:B,2,0))</f>
      </c>
      <c r="F265" s="2"/>
      <c r="G265" s="2"/>
      <c r="H265" s="2">
        <f>H264+F265-G265</f>
      </c>
    </row>
    <row r="266">
      <c r="B266" s="1"/>
      <c r="C266"/>
      <c r="D266"/>
      <c r="E266" s="0">
        <f>IF(ISERROR(VLOOKUP(D266,Categorias!A:B,2,0)),"",VLOOKUP(D266,Categorias!A:B,2,0))</f>
      </c>
      <c r="F266" s="2"/>
      <c r="G266" s="2"/>
      <c r="H266" s="2">
        <f>H265+F266-G266</f>
      </c>
    </row>
    <row r="267">
      <c r="B267" s="1"/>
      <c r="C267"/>
      <c r="D267"/>
      <c r="E267" s="0">
        <f>IF(ISERROR(VLOOKUP(D267,Categorias!A:B,2,0)),"",VLOOKUP(D267,Categorias!A:B,2,0))</f>
      </c>
      <c r="F267" s="2"/>
      <c r="G267" s="2"/>
      <c r="H267" s="2">
        <f>H266+F267-G267</f>
      </c>
    </row>
    <row r="268">
      <c r="B268" s="1"/>
      <c r="C268"/>
      <c r="D268"/>
      <c r="E268" s="0">
        <f>IF(ISERROR(VLOOKUP(D268,Categorias!A:B,2,0)),"",VLOOKUP(D268,Categorias!A:B,2,0))</f>
      </c>
      <c r="F268" s="2"/>
      <c r="G268" s="2"/>
      <c r="H268" s="2">
        <f>H267+F268-G268</f>
      </c>
    </row>
    <row r="269">
      <c r="B269" s="1"/>
      <c r="C269"/>
      <c r="D269"/>
      <c r="E269" s="0">
        <f>IF(ISERROR(VLOOKUP(D269,Categorias!A:B,2,0)),"",VLOOKUP(D269,Categorias!A:B,2,0))</f>
      </c>
      <c r="F269" s="2"/>
      <c r="G269" s="2"/>
      <c r="H269" s="2">
        <f>H268+F269-G269</f>
      </c>
    </row>
    <row r="270">
      <c r="B270" s="1"/>
      <c r="C270"/>
      <c r="D270"/>
      <c r="E270" s="0">
        <f>IF(ISERROR(VLOOKUP(D270,Categorias!A:B,2,0)),"",VLOOKUP(D270,Categorias!A:B,2,0))</f>
      </c>
      <c r="F270" s="2"/>
      <c r="G270" s="2"/>
      <c r="H270" s="2">
        <f>H269+F270-G270</f>
      </c>
    </row>
    <row r="271">
      <c r="B271" s="1"/>
      <c r="C271"/>
      <c r="D271"/>
      <c r="E271" s="0">
        <f>IF(ISERROR(VLOOKUP(D271,Categorias!A:B,2,0)),"",VLOOKUP(D271,Categorias!A:B,2,0))</f>
      </c>
      <c r="F271" s="2"/>
      <c r="G271" s="2"/>
      <c r="H271" s="2">
        <f>H270+F271-G271</f>
      </c>
    </row>
    <row r="272">
      <c r="B272" s="1"/>
      <c r="C272"/>
      <c r="D272"/>
      <c r="E272" s="0">
        <f>IF(ISERROR(VLOOKUP(D272,Categorias!A:B,2,0)),"",VLOOKUP(D272,Categorias!A:B,2,0))</f>
      </c>
      <c r="F272" s="2"/>
      <c r="G272" s="2"/>
      <c r="H272" s="2">
        <f>H271+F272-G272</f>
      </c>
    </row>
    <row r="273">
      <c r="B273" s="1"/>
      <c r="C273"/>
      <c r="D273"/>
      <c r="E273" s="0">
        <f>IF(ISERROR(VLOOKUP(D273,Categorias!A:B,2,0)),"",VLOOKUP(D273,Categorias!A:B,2,0))</f>
      </c>
      <c r="F273" s="2"/>
      <c r="G273" s="2"/>
      <c r="H273" s="2">
        <f>H272+F273-G273</f>
      </c>
    </row>
    <row r="274">
      <c r="B274" s="1"/>
      <c r="C274"/>
      <c r="D274"/>
      <c r="E274" s="0">
        <f>IF(ISERROR(VLOOKUP(D274,Categorias!A:B,2,0)),"",VLOOKUP(D274,Categorias!A:B,2,0))</f>
      </c>
      <c r="F274" s="2"/>
      <c r="G274" s="2"/>
      <c r="H274" s="2">
        <f>H273+F274-G274</f>
      </c>
    </row>
    <row r="275">
      <c r="B275" s="1"/>
      <c r="C275"/>
      <c r="D275"/>
      <c r="E275" s="0">
        <f>IF(ISERROR(VLOOKUP(D275,Categorias!A:B,2,0)),"",VLOOKUP(D275,Categorias!A:B,2,0))</f>
      </c>
      <c r="F275" s="2"/>
      <c r="G275" s="2"/>
      <c r="H275" s="2">
        <f>H274+F275-G275</f>
      </c>
    </row>
    <row r="276">
      <c r="B276" s="1"/>
      <c r="C276"/>
      <c r="D276"/>
      <c r="E276" s="0">
        <f>IF(ISERROR(VLOOKUP(D276,Categorias!A:B,2,0)),"",VLOOKUP(D276,Categorias!A:B,2,0))</f>
      </c>
      <c r="F276" s="2"/>
      <c r="G276" s="2"/>
      <c r="H276" s="2">
        <f>H275+F276-G276</f>
      </c>
    </row>
    <row r="277">
      <c r="B277" s="1"/>
      <c r="C277"/>
      <c r="D277"/>
      <c r="E277" s="0">
        <f>IF(ISERROR(VLOOKUP(D277,Categorias!A:B,2,0)),"",VLOOKUP(D277,Categorias!A:B,2,0))</f>
      </c>
      <c r="F277" s="2"/>
      <c r="G277" s="2"/>
      <c r="H277" s="2">
        <f>H276+F277-G277</f>
      </c>
    </row>
    <row r="278">
      <c r="B278" s="1"/>
      <c r="C278"/>
      <c r="D278"/>
      <c r="E278" s="0">
        <f>IF(ISERROR(VLOOKUP(D278,Categorias!A:B,2,0)),"",VLOOKUP(D278,Categorias!A:B,2,0))</f>
      </c>
      <c r="F278" s="2"/>
      <c r="G278" s="2"/>
      <c r="H278" s="2">
        <f>H277+F278-G278</f>
      </c>
    </row>
    <row r="279">
      <c r="B279" s="1"/>
      <c r="C279"/>
      <c r="D279"/>
      <c r="E279" s="0">
        <f>IF(ISERROR(VLOOKUP(D279,Categorias!A:B,2,0)),"",VLOOKUP(D279,Categorias!A:B,2,0))</f>
      </c>
      <c r="F279" s="2"/>
      <c r="G279" s="2"/>
      <c r="H279" s="2">
        <f>H278+F279-G279</f>
      </c>
    </row>
    <row r="280">
      <c r="B280" s="1"/>
      <c r="C280"/>
      <c r="D280"/>
      <c r="E280" s="0">
        <f>IF(ISERROR(VLOOKUP(D280,Categorias!A:B,2,0)),"",VLOOKUP(D280,Categorias!A:B,2,0))</f>
      </c>
      <c r="F280" s="2"/>
      <c r="G280" s="2"/>
      <c r="H280" s="2">
        <f>H279+F280-G280</f>
      </c>
    </row>
    <row r="281">
      <c r="B281" s="1"/>
      <c r="C281"/>
      <c r="D281"/>
      <c r="E281" s="0">
        <f>IF(ISERROR(VLOOKUP(D281,Categorias!A:B,2,0)),"",VLOOKUP(D281,Categorias!A:B,2,0))</f>
      </c>
      <c r="F281" s="2"/>
      <c r="G281" s="2"/>
      <c r="H281" s="2">
        <f>H280+F281-G281</f>
      </c>
    </row>
    <row r="282">
      <c r="B282" s="1"/>
      <c r="C282"/>
      <c r="D282"/>
      <c r="E282" s="0">
        <f>IF(ISERROR(VLOOKUP(D282,Categorias!A:B,2,0)),"",VLOOKUP(D282,Categorias!A:B,2,0))</f>
      </c>
      <c r="F282" s="2"/>
      <c r="G282" s="2"/>
      <c r="H282" s="2">
        <f>H281+F282-G282</f>
      </c>
    </row>
    <row r="283">
      <c r="B283" s="1"/>
      <c r="C283"/>
      <c r="D283"/>
      <c r="E283" s="0">
        <f>IF(ISERROR(VLOOKUP(D283,Categorias!A:B,2,0)),"",VLOOKUP(D283,Categorias!A:B,2,0))</f>
      </c>
      <c r="F283" s="2"/>
      <c r="G283" s="2"/>
      <c r="H283" s="2">
        <f>H282+F283-G283</f>
      </c>
    </row>
    <row r="284">
      <c r="B284" s="1"/>
      <c r="C284"/>
      <c r="D284"/>
      <c r="E284" s="0">
        <f>IF(ISERROR(VLOOKUP(D284,Categorias!A:B,2,0)),"",VLOOKUP(D284,Categorias!A:B,2,0))</f>
      </c>
      <c r="F284" s="2"/>
      <c r="G284" s="2"/>
      <c r="H284" s="2">
        <f>H283+F284-G284</f>
      </c>
    </row>
    <row r="285">
      <c r="B285" s="1"/>
      <c r="C285"/>
      <c r="D285"/>
      <c r="E285" s="0">
        <f>IF(ISERROR(VLOOKUP(D285,Categorias!A:B,2,0)),"",VLOOKUP(D285,Categorias!A:B,2,0))</f>
      </c>
      <c r="F285" s="2"/>
      <c r="G285" s="2"/>
      <c r="H285" s="2">
        <f>H284+F285-G285</f>
      </c>
    </row>
    <row r="286">
      <c r="B286" s="1"/>
      <c r="C286"/>
      <c r="D286"/>
      <c r="E286" s="0">
        <f>IF(ISERROR(VLOOKUP(D286,Categorias!A:B,2,0)),"",VLOOKUP(D286,Categorias!A:B,2,0))</f>
      </c>
      <c r="F286" s="2"/>
      <c r="G286" s="2"/>
      <c r="H286" s="2">
        <f>H285+F286-G286</f>
      </c>
    </row>
    <row r="287">
      <c r="B287" s="1"/>
      <c r="C287"/>
      <c r="D287"/>
      <c r="E287" s="0">
        <f>IF(ISERROR(VLOOKUP(D287,Categorias!A:B,2,0)),"",VLOOKUP(D287,Categorias!A:B,2,0))</f>
      </c>
      <c r="F287" s="2"/>
      <c r="G287" s="2"/>
      <c r="H287" s="2">
        <f>H286+F287-G287</f>
      </c>
    </row>
    <row r="288">
      <c r="B288" s="1"/>
      <c r="C288"/>
      <c r="D288"/>
      <c r="E288" s="0">
        <f>IF(ISERROR(VLOOKUP(D288,Categorias!A:B,2,0)),"",VLOOKUP(D288,Categorias!A:B,2,0))</f>
      </c>
      <c r="F288" s="2"/>
      <c r="G288" s="2"/>
      <c r="H288" s="2">
        <f>H287+F288-G288</f>
      </c>
    </row>
    <row r="289">
      <c r="B289" s="1"/>
      <c r="C289"/>
      <c r="D289"/>
      <c r="E289" s="0">
        <f>IF(ISERROR(VLOOKUP(D289,Categorias!A:B,2,0)),"",VLOOKUP(D289,Categorias!A:B,2,0))</f>
      </c>
      <c r="F289" s="2"/>
      <c r="G289" s="2"/>
      <c r="H289" s="2">
        <f>H288+F289-G289</f>
      </c>
    </row>
    <row r="290">
      <c r="B290" s="1"/>
      <c r="C290"/>
      <c r="D290"/>
      <c r="E290" s="0">
        <f>IF(ISERROR(VLOOKUP(D290,Categorias!A:B,2,0)),"",VLOOKUP(D290,Categorias!A:B,2,0))</f>
      </c>
      <c r="F290" s="2"/>
      <c r="G290" s="2"/>
      <c r="H290" s="2">
        <f>H289+F290-G290</f>
      </c>
    </row>
    <row r="291">
      <c r="B291" s="1"/>
      <c r="C291"/>
      <c r="D291"/>
      <c r="E291" s="0">
        <f>IF(ISERROR(VLOOKUP(D291,Categorias!A:B,2,0)),"",VLOOKUP(D291,Categorias!A:B,2,0))</f>
      </c>
      <c r="F291" s="2"/>
      <c r="G291" s="2"/>
      <c r="H291" s="2">
        <f>H290+F291-G291</f>
      </c>
    </row>
    <row r="292">
      <c r="B292" s="1"/>
      <c r="C292"/>
      <c r="D292"/>
      <c r="E292" s="0">
        <f>IF(ISERROR(VLOOKUP(D292,Categorias!A:B,2,0)),"",VLOOKUP(D292,Categorias!A:B,2,0))</f>
      </c>
      <c r="F292" s="2"/>
      <c r="G292" s="2"/>
      <c r="H292" s="2">
        <f>H291+F292-G292</f>
      </c>
    </row>
    <row r="293">
      <c r="B293" s="1"/>
      <c r="C293"/>
      <c r="D293"/>
      <c r="E293" s="0">
        <f>IF(ISERROR(VLOOKUP(D293,Categorias!A:B,2,0)),"",VLOOKUP(D293,Categorias!A:B,2,0))</f>
      </c>
      <c r="F293" s="2"/>
      <c r="G293" s="2"/>
      <c r="H293" s="2">
        <f>H292+F293-G293</f>
      </c>
    </row>
    <row r="294">
      <c r="B294" s="1"/>
      <c r="C294"/>
      <c r="D294"/>
      <c r="E294" s="0">
        <f>IF(ISERROR(VLOOKUP(D294,Categorias!A:B,2,0)),"",VLOOKUP(D294,Categorias!A:B,2,0))</f>
      </c>
      <c r="F294" s="2"/>
      <c r="G294" s="2"/>
      <c r="H294" s="2">
        <f>H293+F294-G294</f>
      </c>
    </row>
    <row r="295">
      <c r="B295" s="1"/>
      <c r="C295"/>
      <c r="D295"/>
      <c r="E295" s="0">
        <f>IF(ISERROR(VLOOKUP(D295,Categorias!A:B,2,0)),"",VLOOKUP(D295,Categorias!A:B,2,0))</f>
      </c>
      <c r="F295" s="2"/>
      <c r="G295" s="2"/>
      <c r="H295" s="2">
        <f>H294+F295-G295</f>
      </c>
    </row>
    <row r="296">
      <c r="B296" s="1"/>
      <c r="C296"/>
      <c r="D296"/>
      <c r="E296" s="0">
        <f>IF(ISERROR(VLOOKUP(D296,Categorias!A:B,2,0)),"",VLOOKUP(D296,Categorias!A:B,2,0))</f>
      </c>
      <c r="F296" s="2"/>
      <c r="G296" s="2"/>
      <c r="H296" s="2">
        <f>H295+F296-G296</f>
      </c>
    </row>
    <row r="297">
      <c r="B297" s="1"/>
      <c r="C297"/>
      <c r="D297"/>
      <c r="E297" s="0">
        <f>IF(ISERROR(VLOOKUP(D297,Categorias!A:B,2,0)),"",VLOOKUP(D297,Categorias!A:B,2,0))</f>
      </c>
      <c r="F297" s="2"/>
      <c r="G297" s="2"/>
      <c r="H297" s="2">
        <f>H296+F297-G297</f>
      </c>
    </row>
    <row r="298">
      <c r="B298" s="1"/>
      <c r="C298"/>
      <c r="D298"/>
      <c r="E298" s="0">
        <f>IF(ISERROR(VLOOKUP(D298,Categorias!A:B,2,0)),"",VLOOKUP(D298,Categorias!A:B,2,0))</f>
      </c>
      <c r="F298" s="2"/>
      <c r="G298" s="2"/>
      <c r="H298" s="2">
        <f>H297+F298-G298</f>
      </c>
    </row>
    <row r="299">
      <c r="B299" s="1"/>
      <c r="C299"/>
      <c r="D299"/>
      <c r="E299" s="0">
        <f>IF(ISERROR(VLOOKUP(D299,Categorias!A:B,2,0)),"",VLOOKUP(D299,Categorias!A:B,2,0))</f>
      </c>
      <c r="F299" s="2"/>
      <c r="G299" s="2"/>
      <c r="H299" s="2">
        <f>H298+F299-G299</f>
      </c>
    </row>
    <row r="300">
      <c r="B300" s="1"/>
      <c r="C300"/>
      <c r="D300"/>
      <c r="E300" s="0">
        <f>IF(ISERROR(VLOOKUP(D300,Categorias!A:B,2,0)),"",VLOOKUP(D300,Categorias!A:B,2,0))</f>
      </c>
      <c r="F300" s="2"/>
      <c r="G300" s="2"/>
      <c r="H300" s="2">
        <f>H299+F300-G300</f>
      </c>
    </row>
    <row r="301">
      <c r="B301" s="1"/>
      <c r="C301"/>
      <c r="D301"/>
      <c r="E301" s="0">
        <f>IF(ISERROR(VLOOKUP(D301,Categorias!A:B,2,0)),"",VLOOKUP(D301,Categorias!A:B,2,0))</f>
      </c>
      <c r="F301" s="2"/>
      <c r="G301" s="2"/>
      <c r="H301" s="2">
        <f>H300+F301-G301</f>
      </c>
    </row>
    <row r="302">
      <c r="B302" s="1"/>
      <c r="C302"/>
      <c r="D302"/>
      <c r="E302" s="0">
        <f>IF(ISERROR(VLOOKUP(D302,Categorias!A:B,2,0)),"",VLOOKUP(D302,Categorias!A:B,2,0))</f>
      </c>
      <c r="F302" s="2"/>
      <c r="G302" s="2"/>
      <c r="H302" s="2">
        <f>H301+F302-G302</f>
      </c>
    </row>
    <row r="303">
      <c r="B303" s="1"/>
      <c r="C303"/>
      <c r="D303"/>
      <c r="E303" s="0">
        <f>IF(ISERROR(VLOOKUP(D303,Categorias!A:B,2,0)),"",VLOOKUP(D303,Categorias!A:B,2,0))</f>
      </c>
      <c r="F303" s="2"/>
      <c r="G303" s="2"/>
      <c r="H303" s="2">
        <f>H302+F303-G303</f>
      </c>
    </row>
    <row r="304">
      <c r="B304" s="1"/>
      <c r="C304"/>
      <c r="D304"/>
      <c r="E304" s="0">
        <f>IF(ISERROR(VLOOKUP(D304,Categorias!A:B,2,0)),"",VLOOKUP(D304,Categorias!A:B,2,0))</f>
      </c>
      <c r="F304" s="2"/>
      <c r="G304" s="2"/>
      <c r="H304" s="2">
        <f>H303+F304-G304</f>
      </c>
    </row>
    <row r="305">
      <c r="B305" s="1"/>
      <c r="C305"/>
      <c r="D305"/>
      <c r="E305" s="0">
        <f>IF(ISERROR(VLOOKUP(D305,Categorias!A:B,2,0)),"",VLOOKUP(D305,Categorias!A:B,2,0))</f>
      </c>
      <c r="F305" s="2"/>
      <c r="G305" s="2"/>
      <c r="H305" s="2">
        <f>H304+F305-G305</f>
      </c>
    </row>
    <row r="306">
      <c r="B306" s="1"/>
      <c r="C306"/>
      <c r="D306"/>
      <c r="E306" s="0">
        <f>IF(ISERROR(VLOOKUP(D306,Categorias!A:B,2,0)),"",VLOOKUP(D306,Categorias!A:B,2,0))</f>
      </c>
      <c r="F306" s="2"/>
      <c r="G306" s="2"/>
      <c r="H306" s="2">
        <f>H305+F306-G306</f>
      </c>
    </row>
    <row r="307">
      <c r="B307" s="1"/>
      <c r="C307"/>
      <c r="D307"/>
      <c r="E307" s="0">
        <f>IF(ISERROR(VLOOKUP(D307,Categorias!A:B,2,0)),"",VLOOKUP(D307,Categorias!A:B,2,0))</f>
      </c>
      <c r="F307" s="2"/>
      <c r="G307" s="2"/>
      <c r="H307" s="2">
        <f>H306+F307-G307</f>
      </c>
    </row>
    <row r="308">
      <c r="B308" s="1"/>
      <c r="C308"/>
      <c r="D308"/>
      <c r="E308" s="0">
        <f>IF(ISERROR(VLOOKUP(D308,Categorias!A:B,2,0)),"",VLOOKUP(D308,Categorias!A:B,2,0))</f>
      </c>
      <c r="F308" s="2"/>
      <c r="G308" s="2"/>
      <c r="H308" s="2">
        <f>H307+F308-G308</f>
      </c>
    </row>
    <row r="309">
      <c r="B309" s="1"/>
      <c r="C309"/>
      <c r="D309"/>
      <c r="E309" s="0">
        <f>IF(ISERROR(VLOOKUP(D309,Categorias!A:B,2,0)),"",VLOOKUP(D309,Categorias!A:B,2,0))</f>
      </c>
      <c r="F309" s="2"/>
      <c r="G309" s="2"/>
      <c r="H309" s="2">
        <f>H308+F309-G309</f>
      </c>
    </row>
    <row r="310">
      <c r="B310" s="1"/>
      <c r="C310"/>
      <c r="D310"/>
      <c r="E310" s="0">
        <f>IF(ISERROR(VLOOKUP(D310,Categorias!A:B,2,0)),"",VLOOKUP(D310,Categorias!A:B,2,0))</f>
      </c>
      <c r="F310" s="2"/>
      <c r="G310" s="2"/>
      <c r="H310" s="2">
        <f>H309+F310-G310</f>
      </c>
    </row>
    <row r="311">
      <c r="B311" s="1"/>
      <c r="C311"/>
      <c r="D311"/>
      <c r="E311" s="0">
        <f>IF(ISERROR(VLOOKUP(D311,Categorias!A:B,2,0)),"",VLOOKUP(D311,Categorias!A:B,2,0))</f>
      </c>
      <c r="F311" s="2"/>
      <c r="G311" s="2"/>
      <c r="H311" s="2">
        <f>H310+F311-G311</f>
      </c>
    </row>
    <row r="312">
      <c r="B312" s="1"/>
      <c r="C312"/>
      <c r="D312"/>
      <c r="E312" s="0">
        <f>IF(ISERROR(VLOOKUP(D312,Categorias!A:B,2,0)),"",VLOOKUP(D312,Categorias!A:B,2,0))</f>
      </c>
      <c r="F312" s="2"/>
      <c r="G312" s="2"/>
      <c r="H312" s="2">
        <f>H311+F312-G312</f>
      </c>
    </row>
    <row r="313">
      <c r="B313" s="1"/>
      <c r="C313"/>
      <c r="D313"/>
      <c r="E313" s="0">
        <f>IF(ISERROR(VLOOKUP(D313,Categorias!A:B,2,0)),"",VLOOKUP(D313,Categorias!A:B,2,0))</f>
      </c>
      <c r="F313" s="2"/>
      <c r="G313" s="2"/>
      <c r="H313" s="2">
        <f>H312+F313-G313</f>
      </c>
    </row>
    <row r="314">
      <c r="B314" s="1"/>
      <c r="C314"/>
      <c r="D314"/>
      <c r="E314" s="0">
        <f>IF(ISERROR(VLOOKUP(D314,Categorias!A:B,2,0)),"",VLOOKUP(D314,Categorias!A:B,2,0))</f>
      </c>
      <c r="F314" s="2"/>
      <c r="G314" s="2"/>
      <c r="H314" s="2">
        <f>H313+F314-G314</f>
      </c>
    </row>
    <row r="315">
      <c r="B315" s="1"/>
      <c r="C315"/>
      <c r="D315"/>
      <c r="E315" s="0">
        <f>IF(ISERROR(VLOOKUP(D315,Categorias!A:B,2,0)),"",VLOOKUP(D315,Categorias!A:B,2,0))</f>
      </c>
      <c r="F315" s="2"/>
      <c r="G315" s="2"/>
      <c r="H315" s="2">
        <f>H314+F315-G315</f>
      </c>
    </row>
    <row r="316">
      <c r="B316" s="1"/>
      <c r="C316"/>
      <c r="D316"/>
      <c r="E316" s="0">
        <f>IF(ISERROR(VLOOKUP(D316,Categorias!A:B,2,0)),"",VLOOKUP(D316,Categorias!A:B,2,0))</f>
      </c>
      <c r="F316" s="2"/>
      <c r="G316" s="2"/>
      <c r="H316" s="2">
        <f>H315+F316-G316</f>
      </c>
    </row>
    <row r="317">
      <c r="B317" s="1"/>
      <c r="C317"/>
      <c r="D317"/>
      <c r="E317" s="0">
        <f>IF(ISERROR(VLOOKUP(D317,Categorias!A:B,2,0)),"",VLOOKUP(D317,Categorias!A:B,2,0))</f>
      </c>
      <c r="F317" s="2"/>
      <c r="G317" s="2"/>
      <c r="H317" s="2">
        <f>H316+F317-G317</f>
      </c>
    </row>
    <row r="318">
      <c r="B318" s="1"/>
      <c r="C318"/>
      <c r="D318"/>
      <c r="E318" s="0">
        <f>IF(ISERROR(VLOOKUP(D318,Categorias!A:B,2,0)),"",VLOOKUP(D318,Categorias!A:B,2,0))</f>
      </c>
      <c r="F318" s="2"/>
      <c r="G318" s="2"/>
      <c r="H318" s="2">
        <f>H317+F318-G318</f>
      </c>
    </row>
    <row r="319">
      <c r="B319" s="1"/>
      <c r="C319"/>
      <c r="D319"/>
      <c r="E319" s="0">
        <f>IF(ISERROR(VLOOKUP(D319,Categorias!A:B,2,0)),"",VLOOKUP(D319,Categorias!A:B,2,0))</f>
      </c>
      <c r="F319" s="2"/>
      <c r="G319" s="2"/>
      <c r="H319" s="2">
        <f>H318+F319-G319</f>
      </c>
    </row>
    <row r="320">
      <c r="B320" s="1"/>
      <c r="C320"/>
      <c r="D320"/>
      <c r="E320" s="0">
        <f>IF(ISERROR(VLOOKUP(D320,Categorias!A:B,2,0)),"",VLOOKUP(D320,Categorias!A:B,2,0))</f>
      </c>
      <c r="F320" s="2"/>
      <c r="G320" s="2"/>
      <c r="H320" s="2">
        <f>H319+F320-G320</f>
      </c>
    </row>
    <row r="321">
      <c r="B321" s="1"/>
      <c r="C321"/>
      <c r="D321"/>
      <c r="E321" s="0">
        <f>IF(ISERROR(VLOOKUP(D321,Categorias!A:B,2,0)),"",VLOOKUP(D321,Categorias!A:B,2,0))</f>
      </c>
      <c r="F321" s="2"/>
      <c r="G321" s="2"/>
      <c r="H321" s="2">
        <f>H320+F321-G321</f>
      </c>
    </row>
    <row r="322">
      <c r="B322" s="1"/>
      <c r="C322"/>
      <c r="D322"/>
      <c r="E322" s="0">
        <f>IF(ISERROR(VLOOKUP(D322,Categorias!A:B,2,0)),"",VLOOKUP(D322,Categorias!A:B,2,0))</f>
      </c>
      <c r="F322" s="2"/>
      <c r="G322" s="2"/>
      <c r="H322" s="2">
        <f>H321+F322-G322</f>
      </c>
    </row>
    <row r="323">
      <c r="B323" s="1"/>
      <c r="C323"/>
      <c r="D323"/>
      <c r="E323" s="0">
        <f>IF(ISERROR(VLOOKUP(D323,Categorias!A:B,2,0)),"",VLOOKUP(D323,Categorias!A:B,2,0))</f>
      </c>
      <c r="F323" s="2"/>
      <c r="G323" s="2"/>
      <c r="H323" s="2">
        <f>H322+F323-G323</f>
      </c>
    </row>
    <row r="324">
      <c r="B324" s="1"/>
      <c r="C324"/>
      <c r="D324"/>
      <c r="E324" s="0">
        <f>IF(ISERROR(VLOOKUP(D324,Categorias!A:B,2,0)),"",VLOOKUP(D324,Categorias!A:B,2,0))</f>
      </c>
      <c r="F324" s="2"/>
      <c r="G324" s="2"/>
      <c r="H324" s="2">
        <f>H323+F324-G324</f>
      </c>
    </row>
    <row r="325">
      <c r="B325" s="1"/>
      <c r="C325"/>
      <c r="D325"/>
      <c r="E325" s="0">
        <f>IF(ISERROR(VLOOKUP(D325,Categorias!A:B,2,0)),"",VLOOKUP(D325,Categorias!A:B,2,0))</f>
      </c>
      <c r="F325" s="2"/>
      <c r="G325" s="2"/>
      <c r="H325" s="2">
        <f>H324+F325-G325</f>
      </c>
    </row>
    <row r="326">
      <c r="B326" s="1"/>
      <c r="C326"/>
      <c r="D326"/>
      <c r="E326" s="0">
        <f>IF(ISERROR(VLOOKUP(D326,Categorias!A:B,2,0)),"",VLOOKUP(D326,Categorias!A:B,2,0))</f>
      </c>
      <c r="F326" s="2"/>
      <c r="G326" s="2"/>
      <c r="H326" s="2">
        <f>H325+F326-G326</f>
      </c>
    </row>
    <row r="327">
      <c r="B327" s="1"/>
      <c r="C327"/>
      <c r="D327"/>
      <c r="E327" s="0">
        <f>IF(ISERROR(VLOOKUP(D327,Categorias!A:B,2,0)),"",VLOOKUP(D327,Categorias!A:B,2,0))</f>
      </c>
      <c r="F327" s="2"/>
      <c r="G327" s="2"/>
      <c r="H327" s="2">
        <f>H326+F327-G327</f>
      </c>
    </row>
    <row r="328">
      <c r="B328" s="1"/>
      <c r="C328"/>
      <c r="D328"/>
      <c r="E328" s="0">
        <f>IF(ISERROR(VLOOKUP(D328,Categorias!A:B,2,0)),"",VLOOKUP(D328,Categorias!A:B,2,0))</f>
      </c>
      <c r="F328" s="2"/>
      <c r="G328" s="2"/>
      <c r="H328" s="2">
        <f>H327+F328-G328</f>
      </c>
    </row>
    <row r="329">
      <c r="B329" s="1"/>
      <c r="C329"/>
      <c r="D329"/>
      <c r="E329" s="0">
        <f>IF(ISERROR(VLOOKUP(D329,Categorias!A:B,2,0)),"",VLOOKUP(D329,Categorias!A:B,2,0))</f>
      </c>
      <c r="F329" s="2"/>
      <c r="G329" s="2"/>
      <c r="H329" s="2">
        <f>H328+F329-G329</f>
      </c>
    </row>
    <row r="330">
      <c r="B330" s="1"/>
      <c r="C330"/>
      <c r="D330"/>
      <c r="E330" s="0">
        <f>IF(ISERROR(VLOOKUP(D330,Categorias!A:B,2,0)),"",VLOOKUP(D330,Categorias!A:B,2,0))</f>
      </c>
      <c r="F330" s="2"/>
      <c r="G330" s="2"/>
      <c r="H330" s="2">
        <f>H329+F330-G330</f>
      </c>
    </row>
    <row r="331">
      <c r="B331" s="1"/>
      <c r="C331"/>
      <c r="D331"/>
      <c r="E331" s="0">
        <f>IF(ISERROR(VLOOKUP(D331,Categorias!A:B,2,0)),"",VLOOKUP(D331,Categorias!A:B,2,0))</f>
      </c>
      <c r="F331" s="2"/>
      <c r="G331" s="2"/>
      <c r="H331" s="2">
        <f>H330+F331-G331</f>
      </c>
    </row>
    <row r="332">
      <c r="B332" s="1"/>
      <c r="C332"/>
      <c r="D332"/>
      <c r="E332" s="0">
        <f>IF(ISERROR(VLOOKUP(D332,Categorias!A:B,2,0)),"",VLOOKUP(D332,Categorias!A:B,2,0))</f>
      </c>
      <c r="F332" s="2"/>
      <c r="G332" s="2"/>
      <c r="H332" s="2">
        <f>H331+F332-G332</f>
      </c>
    </row>
    <row r="333">
      <c r="B333" s="1"/>
      <c r="C333"/>
      <c r="D333"/>
      <c r="E333" s="0">
        <f>IF(ISERROR(VLOOKUP(D333,Categorias!A:B,2,0)),"",VLOOKUP(D333,Categorias!A:B,2,0))</f>
      </c>
      <c r="F333" s="2"/>
      <c r="G333" s="2"/>
      <c r="H333" s="2">
        <f>H332+F333-G333</f>
      </c>
    </row>
    <row r="334">
      <c r="B334" s="1"/>
      <c r="C334"/>
      <c r="D334"/>
      <c r="E334" s="0">
        <f>IF(ISERROR(VLOOKUP(D334,Categorias!A:B,2,0)),"",VLOOKUP(D334,Categorias!A:B,2,0))</f>
      </c>
      <c r="F334" s="2"/>
      <c r="G334" s="2"/>
      <c r="H334" s="2">
        <f>H333+F334-G334</f>
      </c>
    </row>
    <row r="335">
      <c r="B335" s="1"/>
      <c r="C335"/>
      <c r="D335"/>
      <c r="E335" s="0">
        <f>IF(ISERROR(VLOOKUP(D335,Categorias!A:B,2,0)),"",VLOOKUP(D335,Categorias!A:B,2,0))</f>
      </c>
      <c r="F335" s="2"/>
      <c r="G335" s="2"/>
      <c r="H335" s="2">
        <f>H334+F335-G335</f>
      </c>
    </row>
    <row r="336">
      <c r="B336" s="1"/>
      <c r="C336"/>
      <c r="D336"/>
      <c r="E336" s="0">
        <f>IF(ISERROR(VLOOKUP(D336,Categorias!A:B,2,0)),"",VLOOKUP(D336,Categorias!A:B,2,0))</f>
      </c>
      <c r="F336" s="2"/>
      <c r="G336" s="2"/>
      <c r="H336" s="2">
        <f>H335+F336-G336</f>
      </c>
    </row>
    <row r="337">
      <c r="B337" s="1"/>
      <c r="C337"/>
      <c r="D337"/>
      <c r="E337" s="0">
        <f>IF(ISERROR(VLOOKUP(D337,Categorias!A:B,2,0)),"",VLOOKUP(D337,Categorias!A:B,2,0))</f>
      </c>
      <c r="F337" s="2"/>
      <c r="G337" s="2"/>
      <c r="H337" s="2">
        <f>H336+F337-G337</f>
      </c>
    </row>
    <row r="338">
      <c r="B338" s="1"/>
      <c r="C338"/>
      <c r="D338"/>
      <c r="E338" s="0">
        <f>IF(ISERROR(VLOOKUP(D338,Categorias!A:B,2,0)),"",VLOOKUP(D338,Categorias!A:B,2,0))</f>
      </c>
      <c r="F338" s="2"/>
      <c r="G338" s="2"/>
      <c r="H338" s="2">
        <f>H337+F338-G338</f>
      </c>
    </row>
    <row r="339">
      <c r="B339" s="1"/>
      <c r="C339"/>
      <c r="D339"/>
      <c r="E339" s="0">
        <f>IF(ISERROR(VLOOKUP(D339,Categorias!A:B,2,0)),"",VLOOKUP(D339,Categorias!A:B,2,0))</f>
      </c>
      <c r="F339" s="2"/>
      <c r="G339" s="2"/>
      <c r="H339" s="2">
        <f>H338+F339-G339</f>
      </c>
    </row>
    <row r="340">
      <c r="B340" s="1"/>
      <c r="C340"/>
      <c r="D340"/>
      <c r="E340" s="0">
        <f>IF(ISERROR(VLOOKUP(D340,Categorias!A:B,2,0)),"",VLOOKUP(D340,Categorias!A:B,2,0))</f>
      </c>
      <c r="F340" s="2"/>
      <c r="G340" s="2"/>
      <c r="H340" s="2">
        <f>H339+F340-G340</f>
      </c>
    </row>
    <row r="341">
      <c r="B341" s="1"/>
      <c r="C341"/>
      <c r="D341"/>
      <c r="E341" s="0">
        <f>IF(ISERROR(VLOOKUP(D341,Categorias!A:B,2,0)),"",VLOOKUP(D341,Categorias!A:B,2,0))</f>
      </c>
      <c r="F341" s="2"/>
      <c r="G341" s="2"/>
      <c r="H341" s="2">
        <f>H340+F341-G341</f>
      </c>
    </row>
    <row r="342">
      <c r="B342" s="1"/>
      <c r="C342"/>
      <c r="D342"/>
      <c r="E342" s="0">
        <f>IF(ISERROR(VLOOKUP(D342,Categorias!A:B,2,0)),"",VLOOKUP(D342,Categorias!A:B,2,0))</f>
      </c>
      <c r="F342" s="2"/>
      <c r="G342" s="2"/>
      <c r="H342" s="2">
        <f>H341+F342-G342</f>
      </c>
    </row>
    <row r="343">
      <c r="B343" s="1"/>
      <c r="C343"/>
      <c r="D343"/>
      <c r="E343" s="0">
        <f>IF(ISERROR(VLOOKUP(D343,Categorias!A:B,2,0)),"",VLOOKUP(D343,Categorias!A:B,2,0))</f>
      </c>
      <c r="F343" s="2"/>
      <c r="G343" s="2"/>
      <c r="H343" s="2">
        <f>H342+F343-G343</f>
      </c>
    </row>
    <row r="344">
      <c r="B344" s="1"/>
      <c r="C344"/>
      <c r="D344"/>
      <c r="E344" s="0">
        <f>IF(ISERROR(VLOOKUP(D344,Categorias!A:B,2,0)),"",VLOOKUP(D344,Categorias!A:B,2,0))</f>
      </c>
      <c r="F344" s="2"/>
      <c r="G344" s="2"/>
      <c r="H344" s="2">
        <f>H343+F344-G344</f>
      </c>
    </row>
    <row r="345">
      <c r="B345" s="1"/>
      <c r="C345"/>
      <c r="D345"/>
      <c r="E345" s="0">
        <f>IF(ISERROR(VLOOKUP(D345,Categorias!A:B,2,0)),"",VLOOKUP(D345,Categorias!A:B,2,0))</f>
      </c>
      <c r="F345" s="2"/>
      <c r="G345" s="2"/>
      <c r="H345" s="2">
        <f>H344+F345-G345</f>
      </c>
    </row>
    <row r="346">
      <c r="B346" s="1"/>
      <c r="C346"/>
      <c r="D346"/>
      <c r="E346" s="0">
        <f>IF(ISERROR(VLOOKUP(D346,Categorias!A:B,2,0)),"",VLOOKUP(D346,Categorias!A:B,2,0))</f>
      </c>
      <c r="F346" s="2"/>
      <c r="G346" s="2"/>
      <c r="H346" s="2">
        <f>H345+F346-G346</f>
      </c>
    </row>
    <row r="347">
      <c r="B347" s="1"/>
      <c r="C347"/>
      <c r="D347"/>
      <c r="E347" s="0">
        <f>IF(ISERROR(VLOOKUP(D347,Categorias!A:B,2,0)),"",VLOOKUP(D347,Categorias!A:B,2,0))</f>
      </c>
      <c r="F347" s="2"/>
      <c r="G347" s="2"/>
      <c r="H347" s="2">
        <f>H346+F347-G347</f>
      </c>
    </row>
    <row r="348">
      <c r="B348" s="1"/>
      <c r="C348"/>
      <c r="D348"/>
      <c r="E348" s="0">
        <f>IF(ISERROR(VLOOKUP(D348,Categorias!A:B,2,0)),"",VLOOKUP(D348,Categorias!A:B,2,0))</f>
      </c>
      <c r="F348" s="2"/>
      <c r="G348" s="2"/>
      <c r="H348" s="2">
        <f>H347+F348-G348</f>
      </c>
    </row>
    <row r="349">
      <c r="B349" s="1"/>
      <c r="C349"/>
      <c r="D349"/>
      <c r="E349" s="0">
        <f>IF(ISERROR(VLOOKUP(D349,Categorias!A:B,2,0)),"",VLOOKUP(D349,Categorias!A:B,2,0))</f>
      </c>
      <c r="F349" s="2"/>
      <c r="G349" s="2"/>
      <c r="H349" s="2">
        <f>H348+F349-G349</f>
      </c>
    </row>
    <row r="350">
      <c r="B350" s="1"/>
      <c r="C350"/>
      <c r="D350"/>
      <c r="E350" s="0">
        <f>IF(ISERROR(VLOOKUP(D350,Categorias!A:B,2,0)),"",VLOOKUP(D350,Categorias!A:B,2,0))</f>
      </c>
      <c r="F350" s="2"/>
      <c r="G350" s="2"/>
      <c r="H350" s="2">
        <f>H349+F350-G350</f>
      </c>
    </row>
    <row r="351">
      <c r="B351" s="1"/>
      <c r="C351"/>
      <c r="D351"/>
      <c r="E351" s="0">
        <f>IF(ISERROR(VLOOKUP(D351,Categorias!A:B,2,0)),"",VLOOKUP(D351,Categorias!A:B,2,0))</f>
      </c>
      <c r="F351" s="2"/>
      <c r="G351" s="2"/>
      <c r="H351" s="2">
        <f>H350+F351-G351</f>
      </c>
    </row>
    <row r="352">
      <c r="B352" s="1"/>
      <c r="C352"/>
      <c r="D352"/>
      <c r="E352" s="0">
        <f>IF(ISERROR(VLOOKUP(D352,Categorias!A:B,2,0)),"",VLOOKUP(D352,Categorias!A:B,2,0))</f>
      </c>
      <c r="F352" s="2"/>
      <c r="G352" s="2"/>
      <c r="H352" s="2">
        <f>H351+F352-G352</f>
      </c>
    </row>
    <row r="353">
      <c r="B353" s="1"/>
      <c r="C353"/>
      <c r="D353"/>
      <c r="E353" s="0">
        <f>IF(ISERROR(VLOOKUP(D353,Categorias!A:B,2,0)),"",VLOOKUP(D353,Categorias!A:B,2,0))</f>
      </c>
      <c r="F353" s="2"/>
      <c r="G353" s="2"/>
      <c r="H353" s="2">
        <f>H352+F353-G353</f>
      </c>
    </row>
    <row r="354">
      <c r="B354" s="1"/>
      <c r="C354"/>
      <c r="D354"/>
      <c r="E354" s="0">
        <f>IF(ISERROR(VLOOKUP(D354,Categorias!A:B,2,0)),"",VLOOKUP(D354,Categorias!A:B,2,0))</f>
      </c>
      <c r="F354" s="2"/>
      <c r="G354" s="2"/>
      <c r="H354" s="2">
        <f>H353+F354-G354</f>
      </c>
    </row>
    <row r="355">
      <c r="B355" s="1"/>
      <c r="C355"/>
      <c r="D355"/>
      <c r="E355" s="0">
        <f>IF(ISERROR(VLOOKUP(D355,Categorias!A:B,2,0)),"",VLOOKUP(D355,Categorias!A:B,2,0))</f>
      </c>
      <c r="F355" s="2"/>
      <c r="G355" s="2"/>
      <c r="H355" s="2">
        <f>H354+F355-G355</f>
      </c>
    </row>
    <row r="356">
      <c r="B356" s="1"/>
      <c r="C356"/>
      <c r="D356"/>
      <c r="E356" s="0">
        <f>IF(ISERROR(VLOOKUP(D356,Categorias!A:B,2,0)),"",VLOOKUP(D356,Categorias!A:B,2,0))</f>
      </c>
      <c r="F356" s="2"/>
      <c r="G356" s="2"/>
      <c r="H356" s="2">
        <f>H355+F356-G356</f>
      </c>
    </row>
    <row r="357">
      <c r="B357" s="1"/>
      <c r="C357"/>
      <c r="D357"/>
      <c r="E357" s="0">
        <f>IF(ISERROR(VLOOKUP(D357,Categorias!A:B,2,0)),"",VLOOKUP(D357,Categorias!A:B,2,0))</f>
      </c>
      <c r="F357" s="2"/>
      <c r="G357" s="2"/>
      <c r="H357" s="2">
        <f>H356+F357-G357</f>
      </c>
    </row>
    <row r="358">
      <c r="B358" s="1"/>
      <c r="C358"/>
      <c r="D358"/>
      <c r="E358" s="0">
        <f>IF(ISERROR(VLOOKUP(D358,Categorias!A:B,2,0)),"",VLOOKUP(D358,Categorias!A:B,2,0))</f>
      </c>
      <c r="F358" s="2"/>
      <c r="G358" s="2"/>
      <c r="H358" s="2">
        <f>H357+F358-G358</f>
      </c>
    </row>
    <row r="359">
      <c r="B359" s="1"/>
      <c r="C359"/>
      <c r="D359"/>
      <c r="E359" s="0">
        <f>IF(ISERROR(VLOOKUP(D359,Categorias!A:B,2,0)),"",VLOOKUP(D359,Categorias!A:B,2,0))</f>
      </c>
      <c r="F359" s="2"/>
      <c r="G359" s="2"/>
      <c r="H359" s="2">
        <f>H358+F359-G359</f>
      </c>
    </row>
    <row r="360">
      <c r="B360" s="1"/>
      <c r="C360"/>
      <c r="D360"/>
      <c r="E360" s="0">
        <f>IF(ISERROR(VLOOKUP(D360,Categorias!A:B,2,0)),"",VLOOKUP(D360,Categorias!A:B,2,0))</f>
      </c>
      <c r="F360" s="2"/>
      <c r="G360" s="2"/>
      <c r="H360" s="2">
        <f>H359+F360-G360</f>
      </c>
    </row>
    <row r="361">
      <c r="B361" s="1"/>
      <c r="C361"/>
      <c r="D361"/>
      <c r="E361" s="0">
        <f>IF(ISERROR(VLOOKUP(D361,Categorias!A:B,2,0)),"",VLOOKUP(D361,Categorias!A:B,2,0))</f>
      </c>
      <c r="F361" s="2"/>
      <c r="G361" s="2"/>
      <c r="H361" s="2">
        <f>H360+F361-G361</f>
      </c>
    </row>
    <row r="362">
      <c r="B362" s="1"/>
      <c r="C362"/>
      <c r="D362"/>
      <c r="E362" s="0">
        <f>IF(ISERROR(VLOOKUP(D362,Categorias!A:B,2,0)),"",VLOOKUP(D362,Categorias!A:B,2,0))</f>
      </c>
      <c r="F362" s="2"/>
      <c r="G362" s="2"/>
      <c r="H362" s="2">
        <f>H361+F362-G362</f>
      </c>
    </row>
    <row r="363">
      <c r="B363" s="1"/>
      <c r="C363"/>
      <c r="D363"/>
      <c r="E363" s="0">
        <f>IF(ISERROR(VLOOKUP(D363,Categorias!A:B,2,0)),"",VLOOKUP(D363,Categorias!A:B,2,0))</f>
      </c>
      <c r="F363" s="2"/>
      <c r="G363" s="2"/>
      <c r="H363" s="2">
        <f>H362+F363-G363</f>
      </c>
    </row>
    <row r="364">
      <c r="B364" s="1"/>
      <c r="C364"/>
      <c r="D364"/>
      <c r="E364" s="0">
        <f>IF(ISERROR(VLOOKUP(D364,Categorias!A:B,2,0)),"",VLOOKUP(D364,Categorias!A:B,2,0))</f>
      </c>
      <c r="F364" s="2"/>
      <c r="G364" s="2"/>
      <c r="H364" s="2">
        <f>H363+F364-G364</f>
      </c>
    </row>
    <row r="365">
      <c r="B365" s="1"/>
      <c r="C365"/>
      <c r="D365"/>
      <c r="E365" s="0">
        <f>IF(ISERROR(VLOOKUP(D365,Categorias!A:B,2,0)),"",VLOOKUP(D365,Categorias!A:B,2,0))</f>
      </c>
      <c r="F365" s="2"/>
      <c r="G365" s="2"/>
      <c r="H365" s="2">
        <f>H364+F365-G365</f>
      </c>
    </row>
    <row r="366">
      <c r="B366" s="1"/>
      <c r="C366"/>
      <c r="D366"/>
      <c r="E366" s="0">
        <f>IF(ISERROR(VLOOKUP(D366,Categorias!A:B,2,0)),"",VLOOKUP(D366,Categorias!A:B,2,0))</f>
      </c>
      <c r="F366" s="2"/>
      <c r="G366" s="2"/>
      <c r="H366" s="2">
        <f>H365+F366-G366</f>
      </c>
    </row>
    <row r="367">
      <c r="B367" s="1"/>
      <c r="C367"/>
      <c r="D367"/>
      <c r="E367" s="0">
        <f>IF(ISERROR(VLOOKUP(D367,Categorias!A:B,2,0)),"",VLOOKUP(D367,Categorias!A:B,2,0))</f>
      </c>
      <c r="F367" s="2"/>
      <c r="G367" s="2"/>
      <c r="H367" s="2">
        <f>H366+F367-G367</f>
      </c>
    </row>
    <row r="368">
      <c r="B368" s="1"/>
      <c r="C368"/>
      <c r="D368"/>
      <c r="E368" s="0">
        <f>IF(ISERROR(VLOOKUP(D368,Categorias!A:B,2,0)),"",VLOOKUP(D368,Categorias!A:B,2,0))</f>
      </c>
      <c r="F368" s="2"/>
      <c r="G368" s="2"/>
      <c r="H368" s="2">
        <f>H367+F368-G368</f>
      </c>
    </row>
    <row r="369">
      <c r="B369" s="1"/>
      <c r="C369"/>
      <c r="D369"/>
      <c r="E369" s="0">
        <f>IF(ISERROR(VLOOKUP(D369,Categorias!A:B,2,0)),"",VLOOKUP(D369,Categorias!A:B,2,0))</f>
      </c>
      <c r="F369" s="2"/>
      <c r="G369" s="2"/>
      <c r="H369" s="2">
        <f>H368+F369-G369</f>
      </c>
    </row>
    <row r="370">
      <c r="B370" s="1"/>
      <c r="C370"/>
      <c r="D370"/>
      <c r="E370" s="0">
        <f>IF(ISERROR(VLOOKUP(D370,Categorias!A:B,2,0)),"",VLOOKUP(D370,Categorias!A:B,2,0))</f>
      </c>
      <c r="F370" s="2"/>
      <c r="G370" s="2"/>
      <c r="H370" s="2">
        <f>H369+F370-G370</f>
      </c>
    </row>
    <row r="371">
      <c r="B371" s="1"/>
      <c r="C371"/>
      <c r="D371"/>
      <c r="E371" s="0">
        <f>IF(ISERROR(VLOOKUP(D371,Categorias!A:B,2,0)),"",VLOOKUP(D371,Categorias!A:B,2,0))</f>
      </c>
      <c r="F371" s="2"/>
      <c r="G371" s="2"/>
      <c r="H371" s="2">
        <f>H370+F371-G371</f>
      </c>
    </row>
    <row r="372">
      <c r="B372" s="1"/>
      <c r="C372"/>
      <c r="D372"/>
      <c r="E372" s="0">
        <f>IF(ISERROR(VLOOKUP(D372,Categorias!A:B,2,0)),"",VLOOKUP(D372,Categorias!A:B,2,0))</f>
      </c>
      <c r="F372" s="2"/>
      <c r="G372" s="2"/>
      <c r="H372" s="2">
        <f>H371+F372-G372</f>
      </c>
    </row>
    <row r="373">
      <c r="B373" s="1"/>
      <c r="C373"/>
      <c r="D373"/>
      <c r="E373" s="0">
        <f>IF(ISERROR(VLOOKUP(D373,Categorias!A:B,2,0)),"",VLOOKUP(D373,Categorias!A:B,2,0))</f>
      </c>
      <c r="F373" s="2"/>
      <c r="G373" s="2"/>
      <c r="H373" s="2">
        <f>H372+F373-G373</f>
      </c>
    </row>
    <row r="374">
      <c r="B374" s="1"/>
      <c r="C374"/>
      <c r="D374"/>
      <c r="E374" s="0">
        <f>IF(ISERROR(VLOOKUP(D374,Categorias!A:B,2,0)),"",VLOOKUP(D374,Categorias!A:B,2,0))</f>
      </c>
      <c r="F374" s="2"/>
      <c r="G374" s="2"/>
      <c r="H374" s="2">
        <f>H373+F374-G374</f>
      </c>
    </row>
    <row r="375">
      <c r="B375" s="1"/>
      <c r="C375"/>
      <c r="D375"/>
      <c r="E375" s="0">
        <f>IF(ISERROR(VLOOKUP(D375,Categorias!A:B,2,0)),"",VLOOKUP(D375,Categorias!A:B,2,0))</f>
      </c>
      <c r="F375" s="2"/>
      <c r="G375" s="2"/>
      <c r="H375" s="2">
        <f>H374+F375-G375</f>
      </c>
    </row>
    <row r="376">
      <c r="B376" s="1"/>
      <c r="C376"/>
      <c r="D376"/>
      <c r="E376" s="0">
        <f>IF(ISERROR(VLOOKUP(D376,Categorias!A:B,2,0)),"",VLOOKUP(D376,Categorias!A:B,2,0))</f>
      </c>
      <c r="F376" s="2"/>
      <c r="G376" s="2"/>
      <c r="H376" s="2">
        <f>H375+F376-G376</f>
      </c>
    </row>
    <row r="377">
      <c r="B377" s="1"/>
      <c r="C377"/>
      <c r="D377"/>
      <c r="E377" s="0">
        <f>IF(ISERROR(VLOOKUP(D377,Categorias!A:B,2,0)),"",VLOOKUP(D377,Categorias!A:B,2,0))</f>
      </c>
      <c r="F377" s="2"/>
      <c r="G377" s="2"/>
      <c r="H377" s="2">
        <f>H376+F377-G377</f>
      </c>
    </row>
    <row r="378">
      <c r="B378" s="1"/>
      <c r="C378"/>
      <c r="D378"/>
      <c r="E378" s="0">
        <f>IF(ISERROR(VLOOKUP(D378,Categorias!A:B,2,0)),"",VLOOKUP(D378,Categorias!A:B,2,0))</f>
      </c>
      <c r="F378" s="2"/>
      <c r="G378" s="2"/>
      <c r="H378" s="2">
        <f>H377+F378-G378</f>
      </c>
    </row>
    <row r="379">
      <c r="B379" s="1"/>
      <c r="C379"/>
      <c r="D379"/>
      <c r="E379" s="0">
        <f>IF(ISERROR(VLOOKUP(D379,Categorias!A:B,2,0)),"",VLOOKUP(D379,Categorias!A:B,2,0))</f>
      </c>
      <c r="F379" s="2"/>
      <c r="G379" s="2"/>
      <c r="H379" s="2">
        <f>H378+F379-G379</f>
      </c>
    </row>
    <row r="380">
      <c r="B380" s="1"/>
      <c r="C380"/>
      <c r="D380"/>
      <c r="E380" s="0">
        <f>IF(ISERROR(VLOOKUP(D380,Categorias!A:B,2,0)),"",VLOOKUP(D380,Categorias!A:B,2,0))</f>
      </c>
      <c r="F380" s="2"/>
      <c r="G380" s="2"/>
      <c r="H380" s="2">
        <f>H379+F380-G380</f>
      </c>
    </row>
    <row r="381">
      <c r="B381" s="1"/>
      <c r="C381"/>
      <c r="D381"/>
      <c r="E381" s="0">
        <f>IF(ISERROR(VLOOKUP(D381,Categorias!A:B,2,0)),"",VLOOKUP(D381,Categorias!A:B,2,0))</f>
      </c>
      <c r="F381" s="2"/>
      <c r="G381" s="2"/>
      <c r="H381" s="2">
        <f>H380+F381-G381</f>
      </c>
    </row>
    <row r="382">
      <c r="B382" s="1"/>
      <c r="C382"/>
      <c r="D382"/>
      <c r="E382" s="0">
        <f>IF(ISERROR(VLOOKUP(D382,Categorias!A:B,2,0)),"",VLOOKUP(D382,Categorias!A:B,2,0))</f>
      </c>
      <c r="F382" s="2"/>
      <c r="G382" s="2"/>
      <c r="H382" s="2">
        <f>H381+F382-G382</f>
      </c>
    </row>
    <row r="383">
      <c r="B383" s="1"/>
      <c r="C383"/>
      <c r="D383"/>
      <c r="E383" s="0">
        <f>IF(ISERROR(VLOOKUP(D383,Categorias!A:B,2,0)),"",VLOOKUP(D383,Categorias!A:B,2,0))</f>
      </c>
      <c r="F383" s="2"/>
      <c r="G383" s="2"/>
      <c r="H383" s="2">
        <f>H382+F383-G383</f>
      </c>
    </row>
    <row r="384">
      <c r="B384" s="1"/>
      <c r="C384"/>
      <c r="D384"/>
      <c r="E384" s="0">
        <f>IF(ISERROR(VLOOKUP(D384,Categorias!A:B,2,0)),"",VLOOKUP(D384,Categorias!A:B,2,0))</f>
      </c>
      <c r="F384" s="2"/>
      <c r="G384" s="2"/>
      <c r="H384" s="2">
        <f>H383+F384-G384</f>
      </c>
    </row>
    <row r="385">
      <c r="B385" s="1"/>
      <c r="C385"/>
      <c r="D385"/>
      <c r="E385" s="0">
        <f>IF(ISERROR(VLOOKUP(D385,Categorias!A:B,2,0)),"",VLOOKUP(D385,Categorias!A:B,2,0))</f>
      </c>
      <c r="F385" s="2"/>
      <c r="G385" s="2"/>
      <c r="H385" s="2">
        <f>H384+F385-G385</f>
      </c>
    </row>
    <row r="386">
      <c r="B386" s="1"/>
      <c r="C386"/>
      <c r="D386"/>
      <c r="E386" s="0">
        <f>IF(ISERROR(VLOOKUP(D386,Categorias!A:B,2,0)),"",VLOOKUP(D386,Categorias!A:B,2,0))</f>
      </c>
      <c r="F386" s="2"/>
      <c r="G386" s="2"/>
      <c r="H386" s="2">
        <f>H385+F386-G386</f>
      </c>
    </row>
    <row r="387">
      <c r="B387" s="1"/>
      <c r="C387"/>
      <c r="D387"/>
      <c r="E387" s="0">
        <f>IF(ISERROR(VLOOKUP(D387,Categorias!A:B,2,0)),"",VLOOKUP(D387,Categorias!A:B,2,0))</f>
      </c>
      <c r="F387" s="2"/>
      <c r="G387" s="2"/>
      <c r="H387" s="2">
        <f>H386+F387-G387</f>
      </c>
    </row>
    <row r="388">
      <c r="B388" s="1"/>
      <c r="C388"/>
      <c r="D388"/>
      <c r="E388" s="0">
        <f>IF(ISERROR(VLOOKUP(D388,Categorias!A:B,2,0)),"",VLOOKUP(D388,Categorias!A:B,2,0))</f>
      </c>
      <c r="F388" s="2"/>
      <c r="G388" s="2"/>
      <c r="H388" s="2">
        <f>H387+F388-G388</f>
      </c>
    </row>
    <row r="389">
      <c r="B389" s="1"/>
      <c r="C389"/>
      <c r="D389"/>
      <c r="E389" s="0">
        <f>IF(ISERROR(VLOOKUP(D389,Categorias!A:B,2,0)),"",VLOOKUP(D389,Categorias!A:B,2,0))</f>
      </c>
      <c r="F389" s="2"/>
      <c r="G389" s="2"/>
      <c r="H389" s="2">
        <f>H388+F389-G389</f>
      </c>
    </row>
    <row r="390">
      <c r="B390" s="1"/>
      <c r="C390"/>
      <c r="D390"/>
      <c r="E390" s="0">
        <f>IF(ISERROR(VLOOKUP(D390,Categorias!A:B,2,0)),"",VLOOKUP(D390,Categorias!A:B,2,0))</f>
      </c>
      <c r="F390" s="2"/>
      <c r="G390" s="2"/>
      <c r="H390" s="2">
        <f>H389+F390-G390</f>
      </c>
    </row>
    <row r="391">
      <c r="B391" s="1"/>
      <c r="C391"/>
      <c r="D391"/>
      <c r="E391" s="0">
        <f>IF(ISERROR(VLOOKUP(D391,Categorias!A:B,2,0)),"",VLOOKUP(D391,Categorias!A:B,2,0))</f>
      </c>
      <c r="F391" s="2"/>
      <c r="G391" s="2"/>
      <c r="H391" s="2">
        <f>H390+F391-G391</f>
      </c>
    </row>
    <row r="392">
      <c r="B392" s="1"/>
      <c r="C392"/>
      <c r="D392"/>
      <c r="E392" s="0">
        <f>IF(ISERROR(VLOOKUP(D392,Categorias!A:B,2,0)),"",VLOOKUP(D392,Categorias!A:B,2,0))</f>
      </c>
      <c r="F392" s="2"/>
      <c r="G392" s="2"/>
      <c r="H392" s="2">
        <f>H391+F392-G392</f>
      </c>
    </row>
    <row r="393">
      <c r="B393" s="1"/>
      <c r="C393"/>
      <c r="D393"/>
      <c r="E393" s="0">
        <f>IF(ISERROR(VLOOKUP(D393,Categorias!A:B,2,0)),"",VLOOKUP(D393,Categorias!A:B,2,0))</f>
      </c>
      <c r="F393" s="2"/>
      <c r="G393" s="2"/>
      <c r="H393" s="2">
        <f>H392+F393-G393</f>
      </c>
    </row>
    <row r="394">
      <c r="B394" s="1"/>
      <c r="C394"/>
      <c r="D394"/>
      <c r="E394" s="0">
        <f>IF(ISERROR(VLOOKUP(D394,Categorias!A:B,2,0)),"",VLOOKUP(D394,Categorias!A:B,2,0))</f>
      </c>
      <c r="F394" s="2"/>
      <c r="G394" s="2"/>
      <c r="H394" s="2">
        <f>H393+F394-G394</f>
      </c>
    </row>
    <row r="395">
      <c r="B395" s="1"/>
      <c r="C395"/>
      <c r="D395"/>
      <c r="E395" s="0">
        <f>IF(ISERROR(VLOOKUP(D395,Categorias!A:B,2,0)),"",VLOOKUP(D395,Categorias!A:B,2,0))</f>
      </c>
      <c r="F395" s="2"/>
      <c r="G395" s="2"/>
      <c r="H395" s="2">
        <f>H394+F395-G395</f>
      </c>
    </row>
    <row r="396">
      <c r="B396" s="1"/>
      <c r="C396"/>
      <c r="D396"/>
      <c r="E396" s="0">
        <f>IF(ISERROR(VLOOKUP(D396,Categorias!A:B,2,0)),"",VLOOKUP(D396,Categorias!A:B,2,0))</f>
      </c>
      <c r="F396" s="2"/>
      <c r="G396" s="2"/>
      <c r="H396" s="2">
        <f>H395+F396-G396</f>
      </c>
    </row>
    <row r="397">
      <c r="B397" s="1"/>
      <c r="C397"/>
      <c r="D397"/>
      <c r="E397" s="0">
        <f>IF(ISERROR(VLOOKUP(D397,Categorias!A:B,2,0)),"",VLOOKUP(D397,Categorias!A:B,2,0))</f>
      </c>
      <c r="F397" s="2"/>
      <c r="G397" s="2"/>
      <c r="H397" s="2">
        <f>H396+F397-G397</f>
      </c>
    </row>
    <row r="398">
      <c r="B398" s="1"/>
      <c r="C398"/>
      <c r="D398"/>
      <c r="E398" s="0">
        <f>IF(ISERROR(VLOOKUP(D398,Categorias!A:B,2,0)),"",VLOOKUP(D398,Categorias!A:B,2,0))</f>
      </c>
      <c r="F398" s="2"/>
      <c r="G398" s="2"/>
      <c r="H398" s="2">
        <f>H397+F398-G398</f>
      </c>
    </row>
    <row r="399">
      <c r="B399" s="1"/>
      <c r="C399"/>
      <c r="D399"/>
      <c r="E399" s="0">
        <f>IF(ISERROR(VLOOKUP(D399,Categorias!A:B,2,0)),"",VLOOKUP(D399,Categorias!A:B,2,0))</f>
      </c>
      <c r="F399" s="2"/>
      <c r="G399" s="2"/>
      <c r="H399" s="2">
        <f>H398+F399-G399</f>
      </c>
    </row>
    <row r="400">
      <c r="B400" s="1"/>
      <c r="C400"/>
      <c r="D400"/>
      <c r="E400" s="0">
        <f>IF(ISERROR(VLOOKUP(D400,Categorias!A:B,2,0)),"",VLOOKUP(D400,Categorias!A:B,2,0))</f>
      </c>
      <c r="F400" s="2"/>
      <c r="G400" s="2"/>
      <c r="H400" s="2">
        <f>H399+F400-G400</f>
      </c>
    </row>
    <row r="401">
      <c r="B401" s="1"/>
      <c r="C401"/>
      <c r="D401"/>
      <c r="E401" s="0">
        <f>IF(ISERROR(VLOOKUP(D401,Categorias!A:B,2,0)),"",VLOOKUP(D401,Categorias!A:B,2,0))</f>
      </c>
      <c r="F401" s="2"/>
      <c r="G401" s="2"/>
      <c r="H401" s="2">
        <f>H400+F401-G401</f>
      </c>
    </row>
    <row r="402">
      <c r="B402" s="1"/>
      <c r="C402"/>
      <c r="D402"/>
      <c r="E402" s="0">
        <f>IF(ISERROR(VLOOKUP(D402,Categorias!A:B,2,0)),"",VLOOKUP(D402,Categorias!A:B,2,0))</f>
      </c>
      <c r="F402" s="2"/>
      <c r="G402" s="2"/>
      <c r="H402" s="2">
        <f>H401+F402-G402</f>
      </c>
    </row>
    <row r="403">
      <c r="B403" s="1"/>
      <c r="C403"/>
      <c r="D403"/>
      <c r="E403" s="0">
        <f>IF(ISERROR(VLOOKUP(D403,Categorias!A:B,2,0)),"",VLOOKUP(D403,Categorias!A:B,2,0))</f>
      </c>
      <c r="F403" s="2"/>
      <c r="G403" s="2"/>
      <c r="H403" s="2">
        <f>H402+F403-G403</f>
      </c>
    </row>
    <row r="404">
      <c r="B404" s="1"/>
      <c r="C404"/>
      <c r="D404"/>
      <c r="E404" s="0">
        <f>IF(ISERROR(VLOOKUP(D404,Categorias!A:B,2,0)),"",VLOOKUP(D404,Categorias!A:B,2,0))</f>
      </c>
      <c r="F404" s="2"/>
      <c r="G404" s="2"/>
      <c r="H404" s="2">
        <f>H403+F404-G404</f>
      </c>
    </row>
    <row r="405">
      <c r="B405" s="1"/>
      <c r="C405"/>
      <c r="D405"/>
      <c r="E405" s="0">
        <f>IF(ISERROR(VLOOKUP(D405,Categorias!A:B,2,0)),"",VLOOKUP(D405,Categorias!A:B,2,0))</f>
      </c>
      <c r="F405" s="2"/>
      <c r="G405" s="2"/>
      <c r="H405" s="2">
        <f>H404+F405-G405</f>
      </c>
    </row>
    <row r="406">
      <c r="B406" s="1"/>
      <c r="C406"/>
      <c r="D406"/>
      <c r="E406" s="0">
        <f>IF(ISERROR(VLOOKUP(D406,Categorias!A:B,2,0)),"",VLOOKUP(D406,Categorias!A:B,2,0))</f>
      </c>
      <c r="F406" s="2"/>
      <c r="G406" s="2"/>
      <c r="H406" s="2">
        <f>H405+F406-G406</f>
      </c>
    </row>
    <row r="407">
      <c r="B407" s="1"/>
      <c r="C407"/>
      <c r="D407"/>
      <c r="E407" s="0">
        <f>IF(ISERROR(VLOOKUP(D407,Categorias!A:B,2,0)),"",VLOOKUP(D407,Categorias!A:B,2,0))</f>
      </c>
      <c r="F407" s="2"/>
      <c r="G407" s="2"/>
      <c r="H407" s="2">
        <f>H406+F407-G407</f>
      </c>
    </row>
    <row r="408">
      <c r="B408" s="1"/>
      <c r="C408"/>
      <c r="D408"/>
      <c r="E408" s="0">
        <f>IF(ISERROR(VLOOKUP(D408,Categorias!A:B,2,0)),"",VLOOKUP(D408,Categorias!A:B,2,0))</f>
      </c>
      <c r="F408" s="2"/>
      <c r="G408" s="2"/>
      <c r="H408" s="2">
        <f>H407+F408-G408</f>
      </c>
    </row>
    <row r="409">
      <c r="B409" s="1"/>
      <c r="C409"/>
      <c r="D409"/>
      <c r="E409" s="0">
        <f>IF(ISERROR(VLOOKUP(D409,Categorias!A:B,2,0)),"",VLOOKUP(D409,Categorias!A:B,2,0))</f>
      </c>
      <c r="F409" s="2"/>
      <c r="G409" s="2"/>
      <c r="H409" s="2">
        <f>H408+F409-G409</f>
      </c>
    </row>
    <row r="410">
      <c r="B410" s="1"/>
      <c r="C410"/>
      <c r="D410"/>
      <c r="E410" s="0">
        <f>IF(ISERROR(VLOOKUP(D410,Categorias!A:B,2,0)),"",VLOOKUP(D410,Categorias!A:B,2,0))</f>
      </c>
      <c r="F410" s="2"/>
      <c r="G410" s="2"/>
      <c r="H410" s="2">
        <f>H409+F410-G410</f>
      </c>
    </row>
    <row r="411">
      <c r="B411" s="1"/>
      <c r="C411"/>
      <c r="D411"/>
      <c r="E411" s="0">
        <f>IF(ISERROR(VLOOKUP(D411,Categorias!A:B,2,0)),"",VLOOKUP(D411,Categorias!A:B,2,0))</f>
      </c>
      <c r="F411" s="2"/>
      <c r="G411" s="2"/>
      <c r="H411" s="2">
        <f>H410+F411-G411</f>
      </c>
    </row>
    <row r="412">
      <c r="B412" s="1"/>
      <c r="C412"/>
      <c r="D412"/>
      <c r="E412" s="0">
        <f>IF(ISERROR(VLOOKUP(D412,Categorias!A:B,2,0)),"",VLOOKUP(D412,Categorias!A:B,2,0))</f>
      </c>
      <c r="F412" s="2"/>
      <c r="G412" s="2"/>
      <c r="H412" s="2">
        <f>H411+F412-G412</f>
      </c>
    </row>
    <row r="413">
      <c r="B413" s="1"/>
      <c r="C413"/>
      <c r="D413"/>
      <c r="E413" s="0">
        <f>IF(ISERROR(VLOOKUP(D413,Categorias!A:B,2,0)),"",VLOOKUP(D413,Categorias!A:B,2,0))</f>
      </c>
      <c r="F413" s="2"/>
      <c r="G413" s="2"/>
      <c r="H413" s="2">
        <f>H412+F413-G413</f>
      </c>
    </row>
    <row r="414">
      <c r="B414" s="1"/>
      <c r="C414"/>
      <c r="D414"/>
      <c r="E414" s="0">
        <f>IF(ISERROR(VLOOKUP(D414,Categorias!A:B,2,0)),"",VLOOKUP(D414,Categorias!A:B,2,0))</f>
      </c>
      <c r="F414" s="2"/>
      <c r="G414" s="2"/>
      <c r="H414" s="2">
        <f>H413+F414-G414</f>
      </c>
    </row>
    <row r="415">
      <c r="B415" s="1"/>
      <c r="C415"/>
      <c r="D415"/>
      <c r="E415" s="0">
        <f>IF(ISERROR(VLOOKUP(D415,Categorias!A:B,2,0)),"",VLOOKUP(D415,Categorias!A:B,2,0))</f>
      </c>
      <c r="F415" s="2"/>
      <c r="G415" s="2"/>
      <c r="H415" s="2">
        <f>H414+F415-G415</f>
      </c>
    </row>
    <row r="416">
      <c r="B416" s="1"/>
      <c r="C416"/>
      <c r="D416"/>
      <c r="E416" s="0">
        <f>IF(ISERROR(VLOOKUP(D416,Categorias!A:B,2,0)),"",VLOOKUP(D416,Categorias!A:B,2,0))</f>
      </c>
      <c r="F416" s="2"/>
      <c r="G416" s="2"/>
      <c r="H416" s="2">
        <f>H415+F416-G416</f>
      </c>
    </row>
    <row r="417">
      <c r="B417" s="1"/>
      <c r="C417"/>
      <c r="D417"/>
      <c r="E417" s="0">
        <f>IF(ISERROR(VLOOKUP(D417,Categorias!A:B,2,0)),"",VLOOKUP(D417,Categorias!A:B,2,0))</f>
      </c>
      <c r="F417" s="2"/>
      <c r="G417" s="2"/>
      <c r="H417" s="2">
        <f>H416+F417-G417</f>
      </c>
    </row>
    <row r="418">
      <c r="B418" s="1"/>
      <c r="C418"/>
      <c r="D418"/>
      <c r="E418" s="0">
        <f>IF(ISERROR(VLOOKUP(D418,Categorias!A:B,2,0)),"",VLOOKUP(D418,Categorias!A:B,2,0))</f>
      </c>
      <c r="F418" s="2"/>
      <c r="G418" s="2"/>
      <c r="H418" s="2">
        <f>H417+F418-G418</f>
      </c>
    </row>
    <row r="419">
      <c r="B419" s="1"/>
      <c r="C419"/>
      <c r="D419"/>
      <c r="E419" s="0">
        <f>IF(ISERROR(VLOOKUP(D419,Categorias!A:B,2,0)),"",VLOOKUP(D419,Categorias!A:B,2,0))</f>
      </c>
      <c r="F419" s="2"/>
      <c r="G419" s="2"/>
      <c r="H419" s="2">
        <f>H418+F419-G419</f>
      </c>
    </row>
    <row r="420">
      <c r="B420" s="1"/>
      <c r="C420"/>
      <c r="D420"/>
      <c r="E420" s="0">
        <f>IF(ISERROR(VLOOKUP(D420,Categorias!A:B,2,0)),"",VLOOKUP(D420,Categorias!A:B,2,0))</f>
      </c>
      <c r="F420" s="2"/>
      <c r="G420" s="2"/>
      <c r="H420" s="2">
        <f>H419+F420-G420</f>
      </c>
    </row>
    <row r="421">
      <c r="B421" s="1"/>
      <c r="C421"/>
      <c r="D421"/>
      <c r="E421" s="0">
        <f>IF(ISERROR(VLOOKUP(D421,Categorias!A:B,2,0)),"",VLOOKUP(D421,Categorias!A:B,2,0))</f>
      </c>
      <c r="F421" s="2"/>
      <c r="G421" s="2"/>
      <c r="H421" s="2">
        <f>H420+F421-G421</f>
      </c>
    </row>
    <row r="422">
      <c r="B422" s="1"/>
      <c r="C422"/>
      <c r="D422"/>
      <c r="E422" s="0">
        <f>IF(ISERROR(VLOOKUP(D422,Categorias!A:B,2,0)),"",VLOOKUP(D422,Categorias!A:B,2,0))</f>
      </c>
      <c r="F422" s="2"/>
      <c r="G422" s="2"/>
      <c r="H422" s="2">
        <f>H421+F422-G422</f>
      </c>
    </row>
    <row r="423">
      <c r="B423" s="1"/>
      <c r="C423"/>
      <c r="D423"/>
      <c r="E423" s="0">
        <f>IF(ISERROR(VLOOKUP(D423,Categorias!A:B,2,0)),"",VLOOKUP(D423,Categorias!A:B,2,0))</f>
      </c>
      <c r="F423" s="2"/>
      <c r="G423" s="2"/>
      <c r="H423" s="2">
        <f>H422+F423-G423</f>
      </c>
    </row>
    <row r="424">
      <c r="B424" s="1"/>
      <c r="C424"/>
      <c r="D424"/>
      <c r="E424" s="0">
        <f>IF(ISERROR(VLOOKUP(D424,Categorias!A:B,2,0)),"",VLOOKUP(D424,Categorias!A:B,2,0))</f>
      </c>
      <c r="F424" s="2"/>
      <c r="G424" s="2"/>
      <c r="H424" s="2">
        <f>H423+F424-G424</f>
      </c>
    </row>
    <row r="425">
      <c r="B425" s="1"/>
      <c r="C425"/>
      <c r="D425"/>
      <c r="E425" s="0">
        <f>IF(ISERROR(VLOOKUP(D425,Categorias!A:B,2,0)),"",VLOOKUP(D425,Categorias!A:B,2,0))</f>
      </c>
      <c r="F425" s="2"/>
      <c r="G425" s="2"/>
      <c r="H425" s="2">
        <f>H424+F425-G425</f>
      </c>
    </row>
    <row r="426">
      <c r="B426" s="1"/>
      <c r="C426"/>
      <c r="D426"/>
      <c r="E426" s="0">
        <f>IF(ISERROR(VLOOKUP(D426,Categorias!A:B,2,0)),"",VLOOKUP(D426,Categorias!A:B,2,0))</f>
      </c>
      <c r="F426" s="2"/>
      <c r="G426" s="2"/>
      <c r="H426" s="2">
        <f>H425+F426-G426</f>
      </c>
    </row>
    <row r="427">
      <c r="B427" s="1"/>
      <c r="C427"/>
      <c r="D427"/>
      <c r="E427" s="0">
        <f>IF(ISERROR(VLOOKUP(D427,Categorias!A:B,2,0)),"",VLOOKUP(D427,Categorias!A:B,2,0))</f>
      </c>
      <c r="F427" s="2"/>
      <c r="G427" s="2"/>
      <c r="H427" s="2">
        <f>H426+F427-G427</f>
      </c>
    </row>
    <row r="428">
      <c r="B428" s="1"/>
      <c r="C428"/>
      <c r="D428"/>
      <c r="E428" s="0">
        <f>IF(ISERROR(VLOOKUP(D428,Categorias!A:B,2,0)),"",VLOOKUP(D428,Categorias!A:B,2,0))</f>
      </c>
      <c r="F428" s="2"/>
      <c r="G428" s="2"/>
      <c r="H428" s="2">
        <f>H427+F428-G428</f>
      </c>
    </row>
    <row r="429">
      <c r="B429" s="1"/>
      <c r="C429"/>
      <c r="D429"/>
      <c r="E429" s="0">
        <f>IF(ISERROR(VLOOKUP(D429,Categorias!A:B,2,0)),"",VLOOKUP(D429,Categorias!A:B,2,0))</f>
      </c>
      <c r="F429" s="2"/>
      <c r="G429" s="2"/>
      <c r="H429" s="2">
        <f>H428+F429-G429</f>
      </c>
    </row>
    <row r="430">
      <c r="B430" s="1"/>
      <c r="C430"/>
      <c r="D430"/>
      <c r="E430" s="0">
        <f>IF(ISERROR(VLOOKUP(D430,Categorias!A:B,2,0)),"",VLOOKUP(D430,Categorias!A:B,2,0))</f>
      </c>
      <c r="F430" s="2"/>
      <c r="G430" s="2"/>
      <c r="H430" s="2">
        <f>H429+F430-G430</f>
      </c>
    </row>
    <row r="431">
      <c r="B431" s="1"/>
      <c r="C431"/>
      <c r="D431"/>
      <c r="E431" s="0">
        <f>IF(ISERROR(VLOOKUP(D431,Categorias!A:B,2,0)),"",VLOOKUP(D431,Categorias!A:B,2,0))</f>
      </c>
      <c r="F431" s="2"/>
      <c r="G431" s="2"/>
      <c r="H431" s="2">
        <f>H430+F431-G431</f>
      </c>
    </row>
    <row r="432">
      <c r="B432" s="1"/>
      <c r="C432"/>
      <c r="D432"/>
      <c r="E432" s="0">
        <f>IF(ISERROR(VLOOKUP(D432,Categorias!A:B,2,0)),"",VLOOKUP(D432,Categorias!A:B,2,0))</f>
      </c>
      <c r="F432" s="2"/>
      <c r="G432" s="2"/>
      <c r="H432" s="2">
        <f>H431+F432-G432</f>
      </c>
    </row>
    <row r="433">
      <c r="B433" s="1"/>
      <c r="C433"/>
      <c r="D433"/>
      <c r="E433" s="0">
        <f>IF(ISERROR(VLOOKUP(D433,Categorias!A:B,2,0)),"",VLOOKUP(D433,Categorias!A:B,2,0))</f>
      </c>
      <c r="F433" s="2"/>
      <c r="G433" s="2"/>
      <c r="H433" s="2">
        <f>H432+F433-G433</f>
      </c>
    </row>
    <row r="434">
      <c r="B434" s="1"/>
      <c r="C434"/>
      <c r="D434"/>
      <c r="E434" s="0">
        <f>IF(ISERROR(VLOOKUP(D434,Categorias!A:B,2,0)),"",VLOOKUP(D434,Categorias!A:B,2,0))</f>
      </c>
      <c r="F434" s="2"/>
      <c r="G434" s="2"/>
      <c r="H434" s="2">
        <f>H433+F434-G434</f>
      </c>
    </row>
    <row r="435">
      <c r="B435" s="1"/>
      <c r="C435"/>
      <c r="D435"/>
      <c r="E435" s="0">
        <f>IF(ISERROR(VLOOKUP(D435,Categorias!A:B,2,0)),"",VLOOKUP(D435,Categorias!A:B,2,0))</f>
      </c>
      <c r="F435" s="2"/>
      <c r="G435" s="2"/>
      <c r="H435" s="2">
        <f>H434+F435-G435</f>
      </c>
    </row>
    <row r="436">
      <c r="B436" s="1"/>
      <c r="C436"/>
      <c r="D436"/>
      <c r="E436" s="0">
        <f>IF(ISERROR(VLOOKUP(D436,Categorias!A:B,2,0)),"",VLOOKUP(D436,Categorias!A:B,2,0))</f>
      </c>
      <c r="F436" s="2"/>
      <c r="G436" s="2"/>
      <c r="H436" s="2">
        <f>H435+F436-G436</f>
      </c>
    </row>
    <row r="437">
      <c r="B437" s="1"/>
      <c r="C437"/>
      <c r="D437"/>
      <c r="E437" s="0">
        <f>IF(ISERROR(VLOOKUP(D437,Categorias!A:B,2,0)),"",VLOOKUP(D437,Categorias!A:B,2,0))</f>
      </c>
      <c r="F437" s="2"/>
      <c r="G437" s="2"/>
      <c r="H437" s="2">
        <f>H436+F437-G437</f>
      </c>
    </row>
    <row r="438">
      <c r="B438" s="1"/>
      <c r="C438"/>
      <c r="D438"/>
      <c r="E438" s="0">
        <f>IF(ISERROR(VLOOKUP(D438,Categorias!A:B,2,0)),"",VLOOKUP(D438,Categorias!A:B,2,0))</f>
      </c>
      <c r="F438" s="2"/>
      <c r="G438" s="2"/>
      <c r="H438" s="2">
        <f>H437+F438-G438</f>
      </c>
    </row>
    <row r="439">
      <c r="B439" s="1"/>
      <c r="C439"/>
      <c r="D439"/>
      <c r="E439" s="0">
        <f>IF(ISERROR(VLOOKUP(D439,Categorias!A:B,2,0)),"",VLOOKUP(D439,Categorias!A:B,2,0))</f>
      </c>
      <c r="F439" s="2"/>
      <c r="G439" s="2"/>
      <c r="H439" s="2">
        <f>H438+F439-G439</f>
      </c>
    </row>
    <row r="440">
      <c r="B440" s="1"/>
      <c r="C440"/>
      <c r="D440"/>
      <c r="E440" s="0">
        <f>IF(ISERROR(VLOOKUP(D440,Categorias!A:B,2,0)),"",VLOOKUP(D440,Categorias!A:B,2,0))</f>
      </c>
      <c r="F440" s="2"/>
      <c r="G440" s="2"/>
      <c r="H440" s="2">
        <f>H439+F440-G440</f>
      </c>
    </row>
    <row r="441">
      <c r="B441" s="1"/>
      <c r="C441"/>
      <c r="D441"/>
      <c r="E441" s="0">
        <f>IF(ISERROR(VLOOKUP(D441,Categorias!A:B,2,0)),"",VLOOKUP(D441,Categorias!A:B,2,0))</f>
      </c>
      <c r="F441" s="2"/>
      <c r="G441" s="2"/>
      <c r="H441" s="2">
        <f>H440+F441-G441</f>
      </c>
    </row>
    <row r="442">
      <c r="B442" s="1"/>
      <c r="C442"/>
      <c r="D442"/>
      <c r="E442" s="0">
        <f>IF(ISERROR(VLOOKUP(D442,Categorias!A:B,2,0)),"",VLOOKUP(D442,Categorias!A:B,2,0))</f>
      </c>
      <c r="F442" s="2"/>
      <c r="G442" s="2"/>
      <c r="H442" s="2">
        <f>H441+F442-G442</f>
      </c>
    </row>
    <row r="443">
      <c r="B443" s="1"/>
      <c r="C443"/>
      <c r="D443"/>
      <c r="E443" s="0">
        <f>IF(ISERROR(VLOOKUP(D443,Categorias!A:B,2,0)),"",VLOOKUP(D443,Categorias!A:B,2,0))</f>
      </c>
      <c r="F443" s="2"/>
      <c r="G443" s="2"/>
      <c r="H443" s="2">
        <f>H442+F443-G443</f>
      </c>
    </row>
    <row r="444">
      <c r="B444" s="1"/>
      <c r="C444"/>
      <c r="D444"/>
      <c r="E444" s="0">
        <f>IF(ISERROR(VLOOKUP(D444,Categorias!A:B,2,0)),"",VLOOKUP(D444,Categorias!A:B,2,0))</f>
      </c>
      <c r="F444" s="2"/>
      <c r="G444" s="2"/>
      <c r="H444" s="2">
        <f>H443+F444-G444</f>
      </c>
    </row>
    <row r="445">
      <c r="B445" s="1"/>
      <c r="C445"/>
      <c r="D445"/>
      <c r="E445" s="0">
        <f>IF(ISERROR(VLOOKUP(D445,Categorias!A:B,2,0)),"",VLOOKUP(D445,Categorias!A:B,2,0))</f>
      </c>
      <c r="F445" s="2"/>
      <c r="G445" s="2"/>
      <c r="H445" s="2">
        <f>H444+F445-G445</f>
      </c>
    </row>
    <row r="446">
      <c r="B446" s="1"/>
      <c r="C446"/>
      <c r="D446"/>
      <c r="E446" s="0">
        <f>IF(ISERROR(VLOOKUP(D446,Categorias!A:B,2,0)),"",VLOOKUP(D446,Categorias!A:B,2,0))</f>
      </c>
      <c r="F446" s="2"/>
      <c r="G446" s="2"/>
      <c r="H446" s="2">
        <f>H445+F446-G446</f>
      </c>
    </row>
    <row r="447">
      <c r="B447" s="1"/>
      <c r="C447"/>
      <c r="D447"/>
      <c r="E447" s="0">
        <f>IF(ISERROR(VLOOKUP(D447,Categorias!A:B,2,0)),"",VLOOKUP(D447,Categorias!A:B,2,0))</f>
      </c>
      <c r="F447" s="2"/>
      <c r="G447" s="2"/>
      <c r="H447" s="2">
        <f>H446+F447-G447</f>
      </c>
    </row>
    <row r="448">
      <c r="B448" s="1"/>
      <c r="C448"/>
      <c r="D448"/>
      <c r="E448" s="0">
        <f>IF(ISERROR(VLOOKUP(D448,Categorias!A:B,2,0)),"",VLOOKUP(D448,Categorias!A:B,2,0))</f>
      </c>
      <c r="F448" s="2"/>
      <c r="G448" s="2"/>
      <c r="H448" s="2">
        <f>H447+F448-G448</f>
      </c>
    </row>
    <row r="449">
      <c r="B449" s="1"/>
      <c r="C449"/>
      <c r="D449"/>
      <c r="E449" s="0">
        <f>IF(ISERROR(VLOOKUP(D449,Categorias!A:B,2,0)),"",VLOOKUP(D449,Categorias!A:B,2,0))</f>
      </c>
      <c r="F449" s="2"/>
      <c r="G449" s="2"/>
      <c r="H449" s="2">
        <f>H448+F449-G449</f>
      </c>
    </row>
    <row r="450">
      <c r="B450" s="1"/>
      <c r="C450"/>
      <c r="D450"/>
      <c r="E450" s="0">
        <f>IF(ISERROR(VLOOKUP(D450,Categorias!A:B,2,0)),"",VLOOKUP(D450,Categorias!A:B,2,0))</f>
      </c>
      <c r="F450" s="2"/>
      <c r="G450" s="2"/>
      <c r="H450" s="2">
        <f>H449+F450-G450</f>
      </c>
    </row>
    <row r="451">
      <c r="B451" s="1"/>
      <c r="C451"/>
      <c r="D451"/>
      <c r="E451" s="0">
        <f>IF(ISERROR(VLOOKUP(D451,Categorias!A:B,2,0)),"",VLOOKUP(D451,Categorias!A:B,2,0))</f>
      </c>
      <c r="F451" s="2"/>
      <c r="G451" s="2"/>
      <c r="H451" s="2">
        <f>H450+F451-G451</f>
      </c>
    </row>
    <row r="452">
      <c r="B452" s="1"/>
      <c r="C452"/>
      <c r="D452"/>
      <c r="E452" s="0">
        <f>IF(ISERROR(VLOOKUP(D452,Categorias!A:B,2,0)),"",VLOOKUP(D452,Categorias!A:B,2,0))</f>
      </c>
      <c r="F452" s="2"/>
      <c r="G452" s="2"/>
      <c r="H452" s="2">
        <f>H451+F452-G452</f>
      </c>
    </row>
    <row r="453">
      <c r="B453" s="1"/>
      <c r="C453"/>
      <c r="D453"/>
      <c r="E453" s="0">
        <f>IF(ISERROR(VLOOKUP(D453,Categorias!A:B,2,0)),"",VLOOKUP(D453,Categorias!A:B,2,0))</f>
      </c>
      <c r="F453" s="2"/>
      <c r="G453" s="2"/>
      <c r="H453" s="2">
        <f>H452+F453-G453</f>
      </c>
    </row>
    <row r="454">
      <c r="B454" s="1"/>
      <c r="C454"/>
      <c r="D454"/>
      <c r="E454" s="0">
        <f>IF(ISERROR(VLOOKUP(D454,Categorias!A:B,2,0)),"",VLOOKUP(D454,Categorias!A:B,2,0))</f>
      </c>
      <c r="F454" s="2"/>
      <c r="G454" s="2"/>
      <c r="H454" s="2">
        <f>H453+F454-G454</f>
      </c>
    </row>
    <row r="455">
      <c r="B455" s="1"/>
      <c r="C455"/>
      <c r="D455"/>
      <c r="E455" s="0">
        <f>IF(ISERROR(VLOOKUP(D455,Categorias!A:B,2,0)),"",VLOOKUP(D455,Categorias!A:B,2,0))</f>
      </c>
      <c r="F455" s="2"/>
      <c r="G455" s="2"/>
      <c r="H455" s="2">
        <f>H454+F455-G455</f>
      </c>
    </row>
    <row r="456">
      <c r="B456" s="1"/>
      <c r="C456"/>
      <c r="D456"/>
      <c r="E456" s="0">
        <f>IF(ISERROR(VLOOKUP(D456,Categorias!A:B,2,0)),"",VLOOKUP(D456,Categorias!A:B,2,0))</f>
      </c>
      <c r="F456" s="2"/>
      <c r="G456" s="2"/>
      <c r="H456" s="2">
        <f>H455+F456-G456</f>
      </c>
    </row>
    <row r="457">
      <c r="B457" s="1"/>
      <c r="C457"/>
      <c r="D457"/>
      <c r="E457" s="0">
        <f>IF(ISERROR(VLOOKUP(D457,Categorias!A:B,2,0)),"",VLOOKUP(D457,Categorias!A:B,2,0))</f>
      </c>
      <c r="F457" s="2"/>
      <c r="G457" s="2"/>
      <c r="H457" s="2">
        <f>H456+F457-G457</f>
      </c>
    </row>
    <row r="458">
      <c r="B458" s="1"/>
      <c r="C458"/>
      <c r="D458"/>
      <c r="E458" s="0">
        <f>IF(ISERROR(VLOOKUP(D458,Categorias!A:B,2,0)),"",VLOOKUP(D458,Categorias!A:B,2,0))</f>
      </c>
      <c r="F458" s="2"/>
      <c r="G458" s="2"/>
      <c r="H458" s="2">
        <f>H457+F458-G458</f>
      </c>
    </row>
    <row r="459">
      <c r="B459" s="1"/>
      <c r="C459"/>
      <c r="D459"/>
      <c r="E459" s="0">
        <f>IF(ISERROR(VLOOKUP(D459,Categorias!A:B,2,0)),"",VLOOKUP(D459,Categorias!A:B,2,0))</f>
      </c>
      <c r="F459" s="2"/>
      <c r="G459" s="2"/>
      <c r="H459" s="2">
        <f>H458+F459-G459</f>
      </c>
    </row>
    <row r="460">
      <c r="B460" s="1"/>
      <c r="C460"/>
      <c r="D460"/>
      <c r="E460" s="0">
        <f>IF(ISERROR(VLOOKUP(D460,Categorias!A:B,2,0)),"",VLOOKUP(D460,Categorias!A:B,2,0))</f>
      </c>
      <c r="F460" s="2"/>
      <c r="G460" s="2"/>
      <c r="H460" s="2">
        <f>H459+F460-G460</f>
      </c>
    </row>
    <row r="461">
      <c r="B461" s="1"/>
      <c r="C461"/>
      <c r="D461"/>
      <c r="E461" s="0">
        <f>IF(ISERROR(VLOOKUP(D461,Categorias!A:B,2,0)),"",VLOOKUP(D461,Categorias!A:B,2,0))</f>
      </c>
      <c r="F461" s="2"/>
      <c r="G461" s="2"/>
      <c r="H461" s="2">
        <f>H460+F461-G461</f>
      </c>
    </row>
    <row r="462">
      <c r="B462" s="1"/>
      <c r="C462"/>
      <c r="D462"/>
      <c r="E462" s="0">
        <f>IF(ISERROR(VLOOKUP(D462,Categorias!A:B,2,0)),"",VLOOKUP(D462,Categorias!A:B,2,0))</f>
      </c>
      <c r="F462" s="2"/>
      <c r="G462" s="2"/>
      <c r="H462" s="2">
        <f>H461+F462-G462</f>
      </c>
    </row>
  </sheetData>
  <mergeCells count="1">
    <mergeCell ref="B2:H5"/>
  </mergeCel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Categorias!$A:$A</xm:f>
          </x14:formula1>
          <xm:sqref>D13:D462</xm:sqref>
        </x14:dataValidation>
      </x14:dataValidations>
    </ext>
  </extLst>
</worksheet>
</file>